
<file path=[Content_Types].xml><?xml version="1.0" encoding="utf-8"?>
<Types xmlns="http://schemas.openxmlformats.org/package/2006/content-types">
  <Override PartName="/customXml/itemProps2.xml" ContentType="application/vnd.openxmlformats-officedocument.customXmlProperties+xml"/>
  <Override PartName="/customXml/itemProps3.xml" ContentType="application/vnd.openxmlformats-officedocument.customXmlProperties+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80" yWindow="140" windowWidth="19100" windowHeight="8300" activeTab="1"/>
  </bookViews>
  <sheets>
    <sheet name="Summary" sheetId="4" r:id="rId1"/>
    <sheet name="Vehicle Management" sheetId="13" r:id="rId2"/>
    <sheet name="Parking Reservation" sheetId="14" r:id="rId3"/>
    <sheet name="Building Management" sheetId="16" r:id="rId4"/>
    <sheet name="Parking Config" sheetId="18" r:id="rId5"/>
    <sheet name="Parking Attendant" sheetId="17" r:id="rId6"/>
    <sheet name="Attendant Management" sheetId="19" r:id="rId7"/>
    <sheet name="Zone Management" sheetId="20" r:id="rId8"/>
    <sheet name="Building Policies" sheetId="24" r:id="rId9"/>
  </sheets>
  <definedNames>
    <definedName name="_xlnm._FilterDatabase" localSheetId="6" hidden="1">'Attendant Management'!$A$1:$L$12</definedName>
    <definedName name="_xlnm._FilterDatabase" localSheetId="3" hidden="1">'Building Management'!$A$1:$L$22</definedName>
    <definedName name="_xlnm._FilterDatabase" localSheetId="8" hidden="1">'Building Policies'!$A$1:$L$18</definedName>
    <definedName name="_xlnm._FilterDatabase" localSheetId="5" hidden="1">'Parking Attendant'!$A$1:$L$18</definedName>
    <definedName name="_xlnm._FilterDatabase" localSheetId="4" hidden="1">'Parking Config'!$A$1:$L$19</definedName>
    <definedName name="_xlnm._FilterDatabase" localSheetId="2" hidden="1">'Parking Reservation'!$A$1:$L$19</definedName>
    <definedName name="_xlnm._FilterDatabase" localSheetId="1" hidden="1">'Vehicle Management'!$A$1:$L$13</definedName>
    <definedName name="_xlnm._FilterDatabase" localSheetId="7" hidden="1">'Zone Management'!$A$1:$L$16</definedName>
  </definedName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4"/>
  <c r="F9"/>
  <c r="F8"/>
  <c r="F7"/>
  <c r="F6"/>
  <c r="F5"/>
  <c r="F4"/>
  <c r="F3"/>
  <c r="C10"/>
  <c r="G10"/>
  <c r="E10"/>
  <c r="D10"/>
  <c r="G9"/>
  <c r="E9"/>
  <c r="D9"/>
  <c r="C9"/>
  <c r="B9" s="1"/>
  <c r="G8"/>
  <c r="E8"/>
  <c r="D8"/>
  <c r="C8"/>
  <c r="G7"/>
  <c r="E7"/>
  <c r="D7"/>
  <c r="C7"/>
  <c r="G6"/>
  <c r="E6"/>
  <c r="D6"/>
  <c r="C6"/>
  <c r="G5"/>
  <c r="E5"/>
  <c r="D5"/>
  <c r="C5"/>
  <c r="G4"/>
  <c r="E4"/>
  <c r="D4"/>
  <c r="C4"/>
  <c r="G3"/>
  <c r="E3"/>
  <c r="D3"/>
  <c r="C3"/>
  <c r="B7" l="1"/>
  <c r="I7" s="1"/>
  <c r="J3"/>
  <c r="I3"/>
  <c r="B3"/>
  <c r="K3" s="1"/>
  <c r="F11"/>
  <c r="D11"/>
  <c r="C11"/>
  <c r="E11"/>
  <c r="B10"/>
  <c r="K9"/>
  <c r="I9"/>
  <c r="H9"/>
  <c r="B4"/>
  <c r="K4" s="1"/>
  <c r="G11"/>
  <c r="B8"/>
  <c r="K8" s="1"/>
  <c r="J9"/>
  <c r="B6"/>
  <c r="K6" s="1"/>
  <c r="B5"/>
  <c r="K5" s="1"/>
  <c r="H4" l="1"/>
  <c r="H6"/>
  <c r="J4"/>
  <c r="J6"/>
  <c r="I4"/>
  <c r="H3"/>
  <c r="I6"/>
  <c r="H7"/>
  <c r="K7"/>
  <c r="J7"/>
  <c r="I5"/>
  <c r="J5"/>
  <c r="B11"/>
  <c r="K11" s="1"/>
  <c r="I10"/>
  <c r="K10"/>
  <c r="J10"/>
  <c r="H10"/>
  <c r="J8"/>
  <c r="I8"/>
  <c r="H8"/>
  <c r="H5"/>
  <c r="H11" l="1"/>
  <c r="I11"/>
  <c r="J11"/>
</calcChain>
</file>

<file path=xl/sharedStrings.xml><?xml version="1.0" encoding="utf-8"?>
<sst xmlns="http://schemas.openxmlformats.org/spreadsheetml/2006/main" count="1193" uniqueCount="562">
  <si>
    <t>MODULE</t>
  </si>
  <si>
    <t>TOTAL TEST</t>
  </si>
  <si>
    <t>PASSED</t>
  </si>
  <si>
    <t>FAILED</t>
  </si>
  <si>
    <t>UNEXECUTED</t>
  </si>
  <si>
    <t>BLOCKED</t>
  </si>
  <si>
    <t>NOT APPLICABLE</t>
  </si>
  <si>
    <t>%NOT TESTED</t>
  </si>
  <si>
    <t>% PASSED</t>
  </si>
  <si>
    <t>% FAILED</t>
  </si>
  <si>
    <t>% COMPLETION</t>
  </si>
  <si>
    <t>Vehicle Management</t>
  </si>
  <si>
    <t>Parking Reservation</t>
  </si>
  <si>
    <t>Building Management</t>
  </si>
  <si>
    <t>Parking Config</t>
  </si>
  <si>
    <t>Parking Attendant</t>
  </si>
  <si>
    <t>Attendant Management</t>
  </si>
  <si>
    <t>Zone Management</t>
  </si>
  <si>
    <t xml:space="preserve"> Building Policies</t>
  </si>
  <si>
    <t>Total</t>
  </si>
  <si>
    <t>LEGEND</t>
  </si>
  <si>
    <t>Testing Exit Criteria Met ( Atleast 80% Pass rate and Completion rate, NO open defects)</t>
  </si>
  <si>
    <t>Partial Testing Exit Criteria Met ( Atleast 80% Pass rate and Completion rate AND Has no P1 or P2 defects)</t>
  </si>
  <si>
    <t>Testing Exit Criteria Not Met ( Below 80% Pass rate and Completion rate OR has Open P1 and P2 Defects)</t>
  </si>
  <si>
    <t>TEST CASE ID</t>
  </si>
  <si>
    <t>TEST CASE</t>
  </si>
  <si>
    <t>PREREQUISITES</t>
  </si>
  <si>
    <t>TEST STEPS</t>
  </si>
  <si>
    <t>TEST DATA</t>
  </si>
  <si>
    <t>EXPECTED RESULT</t>
  </si>
  <si>
    <t>ACTUAL RESULT</t>
  </si>
  <si>
    <t>STATUS</t>
  </si>
  <si>
    <t>DATE EXECUTED</t>
  </si>
  <si>
    <t>TESTER</t>
  </si>
  <si>
    <t>REMARKS</t>
  </si>
  <si>
    <t>As expected</t>
  </si>
  <si>
    <t>Passed</t>
  </si>
  <si>
    <t>Adrian</t>
  </si>
  <si>
    <t>Rose</t>
  </si>
  <si>
    <t>System should display result</t>
  </si>
  <si>
    <t>Failed</t>
  </si>
  <si>
    <t>Please fill in this field text field error message will display</t>
  </si>
  <si>
    <t>Result should display</t>
  </si>
  <si>
    <t>PPA-48</t>
  </si>
  <si>
    <t>TCID-VEHICLE-MANAGEMENT-001</t>
  </si>
  <si>
    <t>Verify that User can successfully access and the page thru the mobile browser</t>
  </si>
  <si>
    <t>1. Upon login thru the mobile browser, click Vehicles tab</t>
  </si>
  <si>
    <t>Vehicle page should display</t>
  </si>
  <si>
    <t>TCID-VEHICLE-MANAGEMENT-002</t>
  </si>
  <si>
    <t>Verify that User can successfully navigate in the Add Vehicle page from the Dashboard</t>
  </si>
  <si>
    <t>1. Upon login, click the Add Vehicle under My Vehicles</t>
  </si>
  <si>
    <t>Add Your Vehicle pop up page will display</t>
  </si>
  <si>
    <t>TCID-VEHICLE-MANAGEMENT-003</t>
  </si>
  <si>
    <t>Verify that User can successfully add a new vehicle</t>
  </si>
  <si>
    <t>1. Upon login, click the Add Vehicle under My Vehicles
2. Enter Plate Number
3. Enter Make
4. Enter Model
5. Enter Color
6. Click Save Vehicle</t>
  </si>
  <si>
    <t>Plate Number: ABC 1234
Make: Toyota
Model: Corolla
Color: Black</t>
  </si>
  <si>
    <t>Add Your Vehicle pop up page will close and will display "Vehicle Added! You can now book a parking slot" pop up message, redirecting User back to Dashboard with the newly added vehicle under My Vehicle</t>
  </si>
  <si>
    <t>TCID-VEHICLE-MANAGEMENT-004</t>
  </si>
  <si>
    <t>Verify that User won’t be able to add a new vehicle if plate number field is not filled in</t>
  </si>
  <si>
    <t>1. Upon login, click Manage on My Vehicles
2. Click Add Vehicle
3. Leave Plate Number blank
4. Enter Make
5. Enter Model
6. Enter Color
7. Click Save Vehicle</t>
  </si>
  <si>
    <t>Make: Toyota
Model: Vios
Color: Black</t>
  </si>
  <si>
    <t>TCID-VEHICLE-MANAGEMENT-005</t>
  </si>
  <si>
    <t>Verify that User can successfully add a new vehicle if only the plate number field is filled in</t>
  </si>
  <si>
    <t>1. Upon login, click Manage on My Vehicles
2. Click Add Vehicle
3. Enter Plate Number
4. Click Save Vehicle</t>
  </si>
  <si>
    <t>Plate Number: GHI 456</t>
  </si>
  <si>
    <t>Add Your Vehicle pop up page will close and will display "Vehicle Added successfully!" pop up message, redirecting User back to My Vehicles page with newly added vehicle</t>
  </si>
  <si>
    <t>1. Upon login, click Manage on My Vehicles
2. Click Add Vehicle
3. Enter Plate Number
4. Enter Make
5. Enter Model
6. Enter Color
7. Click Save Vehicle</t>
  </si>
  <si>
    <t>TCID-VEHICLE-MANAGEMENT-007</t>
  </si>
  <si>
    <t>Verify that User will not be able to add a new vehicle if User didn't meet the field requirements</t>
  </si>
  <si>
    <t>PPA-34</t>
  </si>
  <si>
    <t>TCID-VEHICLE-MANAGEMENT-008</t>
  </si>
  <si>
    <t>Verify that User will not be able to add a new vehicle if User exceeded the field requirements</t>
  </si>
  <si>
    <t>PPA-33</t>
  </si>
  <si>
    <t>TCID-VEHICLE-MANAGEMENT-009</t>
  </si>
  <si>
    <t xml:space="preserve">Verify that User will not be able to add a vehicle upon losing internet connection during adding </t>
  </si>
  <si>
    <t>1. Upon login, click Manage on My Vehicles
2. Turn off wifi
3. Click Add Vehicle
4. Enter Plate Number
5. Enter Make
6. Enter Model
7. Enter Color
8. Click Save Vehicle</t>
  </si>
  <si>
    <t>"Failed to add vehicle" popup message should display and should not add Vehicle</t>
  </si>
  <si>
    <t>TCID-VEHICLE-MANAGEMENT-010</t>
  </si>
  <si>
    <t>Verify that User can leave the Add Vehicle page and details will not be saved</t>
  </si>
  <si>
    <t>1. Upon login, click Manage on My Vehicles
2. Turn off wifi
3. Click Add Vehicle
4. Enter Plate Number
5. Enter Make
6. Enter Model
7. Enter Color
8. Cancel the workflow</t>
  </si>
  <si>
    <t>Vehicle not added</t>
  </si>
  <si>
    <t>TCID-VEHICLE-MANAGEMENT-011</t>
  </si>
  <si>
    <t>Verify that User can successfully delete a vehicle with no active reservations</t>
  </si>
  <si>
    <t>1. Upon login, click Manage on My Vehicles
2. Click the delete icon on the selected vehicle
3. Click OK</t>
  </si>
  <si>
    <t xml:space="preserve">"Vehicle deleted" pop up message should display and should successully delete the vehicle </t>
  </si>
  <si>
    <t>PPA-32</t>
  </si>
  <si>
    <t>TCID-VEHICLE-MANAGEMENT-012</t>
  </si>
  <si>
    <t>Verify that User can cancel deleting a vehicle</t>
  </si>
  <si>
    <t>1. Upon login, click Manage on My Vehicles
2. Click the delete icon on the selected vehicle
3. Click Cancel</t>
  </si>
  <si>
    <t>Pop up confirmation page should disappear and vehicle should not be deleted</t>
  </si>
  <si>
    <t>TCID-VEHICLE-MANAGEMENT-014</t>
  </si>
  <si>
    <t>Verify that User will not be able to delete a vehicle upon losing internet connection</t>
  </si>
  <si>
    <t>1. Upon login, click Manage on My Vehicles
2. Turn off wifi
3. Click the delete icon on the selected vehicle
4. Click Cancel</t>
  </si>
  <si>
    <t>"Failed to delete vehicle" pop up message should display and vehicle should not be deleted</t>
  </si>
  <si>
    <t>TCID-PARKING-RESERVATION-001</t>
  </si>
  <si>
    <t>Verify that User can successfully book a reservation</t>
  </si>
  <si>
    <t>1. Upon login, click Reserve Now
2. Select building
3. Select floor 
4. Select date
5. Select hours
6. Click Confirm Booking</t>
  </si>
  <si>
    <t>Building: NCVI
Floor: 1
Slot: 9
Date: February 27, 2026
Hours: 7am-4pm</t>
  </si>
  <si>
    <t>"Parking spot reserved successfully" pop up message should display and User should be redirected back to My Reservations page with the created booking reservation</t>
  </si>
  <si>
    <t>TCID-PARKING-RESERVATION-002</t>
  </si>
  <si>
    <t>Verify that User will not be able to book a reservation if there is no added vehicle</t>
  </si>
  <si>
    <t>1. Upon login, click My Profile &amp; Preference tab
2. Click View My Reservations
3. Under Active tab, click Book Now
4. Select building
5. Select floor 
6. Select date
7. Select hours</t>
  </si>
  <si>
    <t>Confirm Booking button should be disabled</t>
  </si>
  <si>
    <t>TCID-PARKING-RESERVATION-003</t>
  </si>
  <si>
    <t>Verify that User will not be able to select a slot with active dedicated slot policy</t>
  </si>
  <si>
    <t>1. Upon login, click My Profile &amp; Preference tab
2. Select building
5. Select floor 
6. Hover over a parking slot</t>
  </si>
  <si>
    <t>Building: Pacific Start Building
Floor: Basement 1</t>
  </si>
  <si>
    <t>Parking slot should be disabled and cannot be reserved by the User</t>
  </si>
  <si>
    <t>TCID-PARKING-RESERVATION-004</t>
  </si>
  <si>
    <t>Verify that User can add a vehicle when no vehicle exists</t>
  </si>
  <si>
    <t>1. Upon login, click My Profile &amp; Preference tab
2. Click View My Reservations
3. Under Active tab, click Book Now
4. Click Add Vehicle
5. Fill in details
6. Click Save &amp; Continue</t>
  </si>
  <si>
    <t>"Vehicle added!" pop up message should display and will display the added vehicle under Select Vehicle</t>
  </si>
  <si>
    <t>TCID-PARKING-RESERVATION-005</t>
  </si>
  <si>
    <t>Verify that User can book multiple dates for reservation</t>
  </si>
  <si>
    <t>Building: NCVI
Floor: 1
Slot: 9
Date: February 27-March5
Hours: 7am-4pm</t>
  </si>
  <si>
    <t>"Parking spot reserved successfully" pop up message should display and User should be redirected back to My Reservations page with the created booking reservations</t>
  </si>
  <si>
    <t>TCID-PARKING-RESERVATION-006</t>
  </si>
  <si>
    <t>Verify that User will not be allowed to book a reservation post-date</t>
  </si>
  <si>
    <t>1. Upon login, click Book a Spot
2. Select building
3. Select floor 
4. Hover over the post dates</t>
  </si>
  <si>
    <t>Dates should be disabled</t>
  </si>
  <si>
    <t>TCID-PARKING-RESERVATION-007</t>
  </si>
  <si>
    <t>Verify that User will not be able to select the slot that has been booked the whole day</t>
  </si>
  <si>
    <t>1. Upon login, click Reserve Now
2. Select building
3. Select floor 
4. Select a slot
5. Select a date</t>
  </si>
  <si>
    <t>Building: NCVI
Floor: 1
Date: February 27</t>
  </si>
  <si>
    <t>Slot should be disabled and User will not be able to booked the slot</t>
  </si>
  <si>
    <t>TCID-PARKING-RESERVATION-008</t>
  </si>
  <si>
    <t>Verify that User can view the QR code associated on the booking reservation from Dashboard</t>
  </si>
  <si>
    <t>1. On the dashboard under My Reservations, click the QR icon on the booked reservation</t>
  </si>
  <si>
    <t>System should display the ff. details
Booking QR Code   | Exit button
QR Code
Present this QR code to the parking attendant</t>
  </si>
  <si>
    <t>TCID-PARKING-RESERVATION-009</t>
  </si>
  <si>
    <t>Verify that User can view the QR code associated on the booking reservation from View My Reservations</t>
  </si>
  <si>
    <t>1. From the Dashbord, click My Profile &amp; Preferences tab
2. Click View My Reservations
3. Click the QR icon on the booked reservation</t>
  </si>
  <si>
    <t>System should display the ff. details:
Parking QR Code   | Exit button
QR Code
Building Name
Floor No. and Slot No. 
Date Reserved
Time Reserved
Plate Number
Show this QR code to the parking attendant</t>
  </si>
  <si>
    <t>TCID-PARKING-RESERVATION-010</t>
  </si>
  <si>
    <t>Verify that User can delete a booked reservation from Dashboard</t>
  </si>
  <si>
    <t>1. On the dashboard under My Reservations, click the x icon</t>
  </si>
  <si>
    <t>"Reservation cancelled" pop up message will display and will be remove under the Active tab and move to History tab</t>
  </si>
  <si>
    <t>TCID-PARKING-RESERVATION-011</t>
  </si>
  <si>
    <t>Verify that User can delete a booked reservation from View My Reservations</t>
  </si>
  <si>
    <t>1. From the Dashbord, click My Profile &amp; Preferences tab
2. Click View My Reservations
3. Click the x on the booked reservation</t>
  </si>
  <si>
    <t>TCID-PARKING-RESERVATION-012</t>
  </si>
  <si>
    <t>Verify that the specific time will be opened if a booked reservation has been cancelled by the User</t>
  </si>
  <si>
    <t>1. On the Dashboard, click Reserve Now
2. Select building
3. Select floor 
4. Select a slot
5. Select a date</t>
  </si>
  <si>
    <t>Specific time should be available again for reservation</t>
  </si>
  <si>
    <t>TCID-PARKING-RESERVATION-013</t>
  </si>
  <si>
    <t>Verify that User cannot book a reservation earlier than the current time</t>
  </si>
  <si>
    <t>1. Upon login, click Reserve Now
2. Select building
3. Select floor 
4. Hover over today's date
5. Select earlier hours</t>
  </si>
  <si>
    <t>Earlier hours should be disabled</t>
  </si>
  <si>
    <t>Can click earlier hours and book a reservation</t>
  </si>
  <si>
    <t>PPA-37</t>
  </si>
  <si>
    <t>TCID-PARKING-RESERVATION-014</t>
  </si>
  <si>
    <t>Verify that the specific time will be opened if a booked reservation has been cancelled by the Admin</t>
  </si>
  <si>
    <t>TCID-PARKING-RESERVATION-015</t>
  </si>
  <si>
    <t>Verify that the booking hours should be automatically selected if the Default Booking Hours/Booking Preference has been set prior to making a reservation</t>
  </si>
  <si>
    <t>1. On the Dashboard, click Reserve Now
2. Select building
3. Select floor 
4. Select a slot</t>
  </si>
  <si>
    <t>Hours should be automatically selected</t>
  </si>
  <si>
    <t>Default booking hours not automatically applied</t>
  </si>
  <si>
    <t>PPA-40</t>
  </si>
  <si>
    <t>TCID-PARKING-RESERVATION-016</t>
  </si>
  <si>
    <t>Verify that the booking hours will no longer be applied if Booking Preference has been removed</t>
  </si>
  <si>
    <t>System should allow User to select hours</t>
  </si>
  <si>
    <t>Blocked</t>
  </si>
  <si>
    <t>Execute after PPA-40 has been fixed</t>
  </si>
  <si>
    <t>TCID-PARKING-RESERVATION-017</t>
  </si>
  <si>
    <t>Verify that User can receive a notification for No-Show status</t>
  </si>
  <si>
    <t>1. Login as User
2. Click the notification bell</t>
  </si>
  <si>
    <t>Notification should open and display full contents</t>
  </si>
  <si>
    <t>Unable to click the notification and view the full content</t>
  </si>
  <si>
    <t>TCID-PARKING-RESERVATION-018</t>
  </si>
  <si>
    <t>Verify that User cannot book a reservation outside his/her zone</t>
  </si>
  <si>
    <t>1. On the Dashboard, click Reserve Now
2. Select building
3. Select floor 
4. Select a date
5. Select a slot
6. Select hours
7. Click Confirm Booking</t>
  </si>
  <si>
    <t>"You are not assigned to this building's zone. Please contact your administrator" popup message should display, and should not allow User to book a reservation</t>
  </si>
  <si>
    <t>TCID-BUILDING-MANAGEMENT-001</t>
  </si>
  <si>
    <t>Buildings</t>
  </si>
  <si>
    <t xml:space="preserve">Verify if a parking slot can be blocked </t>
  </si>
  <si>
    <t>1. Login to the admin panel
2. Click Buildings
3. Select a building
4. Select a floor
5. Select a parking slot
6. Click the X button</t>
  </si>
  <si>
    <t>Email: adfargas@pjlhuillier.com
Role: Admin</t>
  </si>
  <si>
    <r>
      <rPr>
        <sz val="11"/>
        <color rgb="FF000000"/>
        <rFont val="Calibri"/>
        <scheme val="minor"/>
      </rPr>
      <t xml:space="preserve">A message will be shown to the user and the slot status and color will be changed to Blocked and gray respectively
</t>
    </r>
    <r>
      <rPr>
        <b/>
        <i/>
        <sz val="11"/>
        <color rgb="FF000000"/>
        <rFont val="Calibri"/>
        <scheme val="minor"/>
      </rPr>
      <t>"Slot ### blocked"</t>
    </r>
  </si>
  <si>
    <t>TCID-BUILDING-MANAGEMENT-002</t>
  </si>
  <si>
    <t xml:space="preserve">Verify if a parking slot can be unblocked </t>
  </si>
  <si>
    <r>
      <rPr>
        <sz val="11"/>
        <color rgb="FF000000"/>
        <rFont val="Calibri"/>
        <scheme val="minor"/>
      </rPr>
      <t xml:space="preserve">A message will be shown to the user and the slot status and color will be changed to Blocked and gray respectively
</t>
    </r>
    <r>
      <rPr>
        <b/>
        <i/>
        <sz val="11"/>
        <color rgb="FF000000"/>
        <rFont val="Calibri"/>
        <scheme val="minor"/>
      </rPr>
      <t>"Slot ### unblocked"</t>
    </r>
  </si>
  <si>
    <t>TCID-BUILDING-MANAGEMENT-003</t>
  </si>
  <si>
    <t>Verify that Admin can successfully add a Building</t>
  </si>
  <si>
    <t>1. Login to the admin panel
2. Click Buildings
3. Click Add Building
4. Enter Building Name
5. Enter Address
6. Select a value under the Floors dropdown
7. Enter Slots/Floor
8. Enter Slot Prefix
9. Click Create Building</t>
  </si>
  <si>
    <t>admin0302@cebuana.com
Role: Admin</t>
  </si>
  <si>
    <t>"Building created" popup message should display, Add New Building modal page should close and the created Building should display on the Building Management page with updates on the total count of the ff. details:
Buildings
Floors
Total Slots
Available</t>
  </si>
  <si>
    <t>TCID-BUILDING-MANAGEMENT-004</t>
  </si>
  <si>
    <t>Verify that Admin can search Building Name using exact characters</t>
  </si>
  <si>
    <t>1. Navigate to Reservation Management
2. Click Search
3. Enter full building name</t>
  </si>
  <si>
    <t>User's Name: CL Tower Makati</t>
  </si>
  <si>
    <t>TCID-BUILDING-MANAGEMENT-005</t>
  </si>
  <si>
    <t>Verify that Admin can search Building Name  using incomplete characters</t>
  </si>
  <si>
    <t>1. Navigate to Reservation Management
2. Click Search
3. Enter keyword</t>
  </si>
  <si>
    <t>TCID-BUILDING-MANAGEMENT-006</t>
  </si>
  <si>
    <t>Verify that Admin can search Address using exact characters</t>
  </si>
  <si>
    <t>1. Navigate to Reservation Management
2. Click Search
3. Enter full address</t>
  </si>
  <si>
    <t>TCID-BUILDING-MANAGEMENT-007</t>
  </si>
  <si>
    <t>Verify that Admin can search Address using incomplete characters</t>
  </si>
  <si>
    <t>TCID-BUILDING-MANAGEMENT-008</t>
  </si>
  <si>
    <t>Verify that Admin can add floor on existing Building</t>
  </si>
  <si>
    <t>1. Click Add Floor on selected Building
2. Enter Floor name
3. Enter Prefix
4. Enter Number of slots
5. Click Add Floor</t>
  </si>
  <si>
    <t>"Floor added" popup message should display, Add New Floor modal page should close and the added Floor should display under the Building added with updates on the total count of the ff. details:
Floors
Total Slots
Available</t>
  </si>
  <si>
    <t>TCID-BUILDING-MANAGEMENT-009</t>
  </si>
  <si>
    <t>Verify that Admin can cancel adding a floor on existing Building</t>
  </si>
  <si>
    <t>1. Click Add Floor on selected Building
2. Enter Floor name
3. Enter Prefix
4. Enter Number of slots
5. Click Cancel</t>
  </si>
  <si>
    <t>Add New Floor modal page should close, with no floor added on the selected building and no updates on the total count of the ff. details:
Floors
Total Slots
Available</t>
  </si>
  <si>
    <t>TCID-BUILDING-MANAGEMENT-010</t>
  </si>
  <si>
    <t xml:space="preserve">Verify that Admin can delete a Building </t>
  </si>
  <si>
    <t>1. Click the delete icon
2. Click OK</t>
  </si>
  <si>
    <t>"Building deleted" popup message should display, the confirmation modal message should close, the deleted Building should no longer be on the list and with updates on the total count of the ff. details:
Buildings
Floors
Total Slots
Available</t>
  </si>
  <si>
    <t>TCID-BUILDING-MANAGEMENT-011</t>
  </si>
  <si>
    <t>Very that Admin can cancel deleting a Building</t>
  </si>
  <si>
    <t>1. Click the delete icon
2. Click Cancel</t>
  </si>
  <si>
    <t>Confirmation modal page should close and the Building should not be deleted</t>
  </si>
  <si>
    <t>TCID-BUILDING-MANAGEMENT-012</t>
  </si>
  <si>
    <t>Verify that Admin can add slots on the existing Building</t>
  </si>
  <si>
    <t>1. Click Add Slots
2. Enter details
3. Click Add Slots</t>
  </si>
  <si>
    <t>"Added *count* slots" popup message should display, Add Slots to Floor modal page should close and the added Slots should display under the selected floor with updates on the total count of the ff. details:
Total Slots
Available</t>
  </si>
  <si>
    <t>TCID-BUILDING-MANAGEMENT-013</t>
  </si>
  <si>
    <t>Verify that Admin can cancel adding slots on the existing Building</t>
  </si>
  <si>
    <t>1. Click Add Slots on selected Floor
2. Enter details
3. Click Cancel</t>
  </si>
  <si>
    <t>Add Slots to Floor modal page should close, with no slots added on the selected floor and no updates on the total count of the ff. details:
Total Slots
Available</t>
  </si>
  <si>
    <t>TCID-BUILDING-MANAGEMENT-014</t>
  </si>
  <si>
    <t>Verify that the added Building can be viewed in Zone Management module</t>
  </si>
  <si>
    <t>1. Login as Admin
2. Navigate to Zone Management
3. Edit Zone
4. Browse on the list of Buildings</t>
  </si>
  <si>
    <t>Building Name: CLF SM Manila</t>
  </si>
  <si>
    <t>Added building should display</t>
  </si>
  <si>
    <t>TCID-BUILDING-MANAGEMENT-015</t>
  </si>
  <si>
    <t>Verify that Admin can upload a floor layout image</t>
  </si>
  <si>
    <t>1. Click the down arrow on selected floor
2. Click Upload
3. Select Image
4. Click Open</t>
  </si>
  <si>
    <t>"Floor layout image uploaded" popup modal page should display, upload button should be replaced with View and Remove buttons</t>
  </si>
  <si>
    <t>TCID-BUILDING-MANAGEMENT-016</t>
  </si>
  <si>
    <t>Verify that Admin can update the slot's name</t>
  </si>
  <si>
    <t>1. Click a slot
2. Enter updated slot name
3. Click the check button</t>
  </si>
  <si>
    <t>"Slot renamed" popup message should display with the updated name reflected on the slot without any issue on the UI</t>
  </si>
  <si>
    <t>Slot name overlaps with the Slot UI</t>
  </si>
  <si>
    <t>PPA-43</t>
  </si>
  <si>
    <t>TCID-BUILDING-MANAGEMENT-017</t>
  </si>
  <si>
    <t>Verify that Admin can view the Floor layout image</t>
  </si>
  <si>
    <t>1. Click the View button</t>
  </si>
  <si>
    <t>Floor image will display on another browser</t>
  </si>
  <si>
    <t>TCID-BUILDING-MANAGEMENT-018</t>
  </si>
  <si>
    <t>Verify that Admin can remove the uploaded floor layout image</t>
  </si>
  <si>
    <t>1. Click the Remove button</t>
  </si>
  <si>
    <t>"Layout image removed" popup message should display, View and Remove buttons should be removed and Upload button should display</t>
  </si>
  <si>
    <t>TCID-BUILDING-MANAGEMENT-019</t>
  </si>
  <si>
    <t>Verify that Admin can delete a slot</t>
  </si>
  <si>
    <t>1. Click the down arrow on selected floor
2. Click the x button on the slot
3. Click OK</t>
  </si>
  <si>
    <t>"Slot deleted" popup message should display, deleting the slot on the floor and total count of the ff. details should be updated: 
Total Slots 
Available</t>
  </si>
  <si>
    <t>TCID-BUILDING-MANAGEMENT-020</t>
  </si>
  <si>
    <t>Verify that Admin can cancel deleting a slot</t>
  </si>
  <si>
    <t>1. Click the down arrow on selected floor
2. Click the x button on the slot
3. Click Cancel</t>
  </si>
  <si>
    <t>Confirmation modal page should close and the slot should not be deleted</t>
  </si>
  <si>
    <t>TCID-BUILDING-MANAGEMENT-021</t>
  </si>
  <si>
    <t>Verify that Admin can't block a slot if there's already a reservation</t>
  </si>
  <si>
    <t>"Cannot block a slot with active reservations. Cancel them first." popup message should display and slot should not be deleted</t>
  </si>
  <si>
    <t>TCID-PARKING-CONFIG-001</t>
  </si>
  <si>
    <r>
      <rPr>
        <sz val="11"/>
        <color rgb="FF000000"/>
        <rFont val="Calibri"/>
      </rPr>
      <t xml:space="preserve">Verify if the Parking Configuration module has the following elements visible in the UI:
</t>
    </r>
    <r>
      <rPr>
        <b/>
        <i/>
        <sz val="11"/>
        <color rgb="FF000000"/>
        <rFont val="Calibri"/>
      </rPr>
      <t>Select Building
Parking Release Time
Parking Hours
Booking Window
No-Show Slot Release
Waitlist Configuration
Main Building Exclusivity</t>
    </r>
  </si>
  <si>
    <t>1. Login to the admin panel
2. Click Parking Config</t>
  </si>
  <si>
    <t>All UI elements are displayed</t>
  </si>
  <si>
    <t>TCID-PARKING-CONFIG-002</t>
  </si>
  <si>
    <t>Verify if an admin can select a building to be configured</t>
  </si>
  <si>
    <t>1. Login to the admin panel
2. Click Parking Config
3. Select a building</t>
  </si>
  <si>
    <t>Individual buildings can be selected to be edited</t>
  </si>
  <si>
    <t>TCID-PARKING-CONFIG-003</t>
  </si>
  <si>
    <t>Verify if an admin can set a no-show auto-release on a parking slot</t>
  </si>
  <si>
    <t>1. Login to the admin panel
2. Click Parking Config
3. Set a Enable Auto-release to ON
4. Determine a timeframe for the auto-release
5. Save changes</t>
  </si>
  <si>
    <r>
      <rPr>
        <sz val="11"/>
        <color rgb="FF000000"/>
        <rFont val="Calibri"/>
        <scheme val="minor"/>
      </rPr>
      <t xml:space="preserve">Changes saved with message
</t>
    </r>
    <r>
      <rPr>
        <b/>
        <i/>
        <sz val="11"/>
        <color rgb="FF000000"/>
        <rFont val="Calibri"/>
        <scheme val="minor"/>
      </rPr>
      <t>"Configuration saved successfully"</t>
    </r>
  </si>
  <si>
    <t>As expected
Save button hidden under Made with Emergent logo</t>
  </si>
  <si>
    <t>PPA-31</t>
  </si>
  <si>
    <t>TCID-PARKING-CONFIG-004</t>
  </si>
  <si>
    <t>Verify if an employee can book a reservation if a building has Main Building Exclusivity active</t>
  </si>
  <si>
    <t>The employee is registered to the building</t>
  </si>
  <si>
    <t>1. Login to the admin panel
2. Click Parking Config
3. Select a building
4. Toggle Enable Main Building Restriction under Main Building Exclusivity
5. Login as an employee
6. Process a booking under the building with the main building restriction on</t>
  </si>
  <si>
    <r>
      <rPr>
        <b/>
        <i/>
        <sz val="11"/>
        <color rgb="FF000000"/>
        <rFont val="Calibri"/>
        <scheme val="minor"/>
      </rPr>
      <t>"Parking spot reserved successfully!"</t>
    </r>
    <r>
      <rPr>
        <sz val="11"/>
        <color rgb="FF000000"/>
        <rFont val="Calibri"/>
        <scheme val="minor"/>
      </rPr>
      <t xml:space="preserve"> popup message should display and User should be redirected back to My reservations page with the booked reservation</t>
    </r>
  </si>
  <si>
    <t>TCID-PARKING-CONFIG-005</t>
  </si>
  <si>
    <t>The employee is not registered to the building</t>
  </si>
  <si>
    <r>
      <rPr>
        <b/>
        <i/>
        <sz val="11"/>
        <color rgb="FF000000"/>
        <rFont val="Calibri"/>
        <scheme val="minor"/>
      </rPr>
      <t xml:space="preserve">"You are not assigned to this building's zone. Please contact your administrator" </t>
    </r>
    <r>
      <rPr>
        <sz val="11"/>
        <color rgb="FF000000"/>
        <rFont val="Calibri"/>
        <scheme val="minor"/>
      </rPr>
      <t>popup message should display and User should not be able to book a reservation</t>
    </r>
  </si>
  <si>
    <t>TCID-PARKING-CONFIG-006</t>
  </si>
  <si>
    <t>Verify if the admin can set a default parking release time</t>
  </si>
  <si>
    <t>1. Login to the admin panel
2. Click Parking Config
3. Select a building
4. Set a value for the default parking release time</t>
  </si>
  <si>
    <t>Default parking release time assigned</t>
  </si>
  <si>
    <t xml:space="preserve">As expected
</t>
  </si>
  <si>
    <t>TCID-PARKING-CONFIG-007</t>
  </si>
  <si>
    <t>Verify if the parking slots will be automatically released during the set default parking release time</t>
  </si>
  <si>
    <t>1. Login to the admin panel
2. Click Parking Config
3. Select a building
4. Set a value for the default parking release time
5. Verify if the parking slots for a building will be released automatically once the value for the default parking time release is reached</t>
  </si>
  <si>
    <t>PPA-49</t>
  </si>
  <si>
    <t>TCID-PARKING-CONFIG-008</t>
  </si>
  <si>
    <t>Verify the admin can set a value for the number of days an advance booking is allowed</t>
  </si>
  <si>
    <t>1. Login to the admin panel
2. Click Parking Config
3. Set a value for Booking Window
4. Click Save Configuration</t>
  </si>
  <si>
    <t>"Configuration saved successfully" popup message should display and updates the fields</t>
  </si>
  <si>
    <t>TCID-PARKING-CONFIG-009</t>
  </si>
  <si>
    <t>Verify if a user can complete a booking past the value specified in the Booking Window</t>
  </si>
  <si>
    <t>1. Login to the admin panel
2. Click Parking Config
3. Set a value for Booking Window
4. Login as an employee
5. Verify if a booking can be made past the value determined in the Booking Window in the admin panel</t>
  </si>
  <si>
    <t>The days past the determined value (counting the current date) are locked and are not available for reservation</t>
  </si>
  <si>
    <t>TCID-PARKING-CONFIG-010</t>
  </si>
  <si>
    <t>Verify if the waitlist can be toggled on and off</t>
  </si>
  <si>
    <t>1. Login to the admin panel
2. Click Parking Config
3. Toggle the Enable Waitlist</t>
  </si>
  <si>
    <t>Waitlist enabled/disabled</t>
  </si>
  <si>
    <t>TCID-PARKING-CONFIG-011</t>
  </si>
  <si>
    <t>Verify if the admin can set a value in minutes when the users in the waitlist are notified</t>
  </si>
  <si>
    <t>1. Login to the admin panel
2. Click Parking Config
3. Set a value for the notification window
4. Login as an employee
5. Reserve a slot in a fully booked building to join the waitlist
6. Verify if a notification will be sent in advance regarding the booking depending on the value set in the Notification Window</t>
  </si>
  <si>
    <t>User should receive a notification if the slot is opened</t>
  </si>
  <si>
    <t>TCID-PARKING-CONFIG-012</t>
  </si>
  <si>
    <t>Set a default value for the default parking hours for a building</t>
  </si>
  <si>
    <t>1. Login to the admin panel
2. Click Parking Config
3. Set a value under the default parking hours</t>
  </si>
  <si>
    <t>TCID-PARKING-CONFIG-013</t>
  </si>
  <si>
    <t>Verify if a user can book a slot before the defined default parking hours</t>
  </si>
  <si>
    <t>1. Login as a user
2. Attempt to process a booking before the start of the default parking hours</t>
  </si>
  <si>
    <t>Hours should not be selected and User should not be allowed to book a reservation within those hours</t>
  </si>
  <si>
    <t>Can select hours and allows User to book the reservation</t>
  </si>
  <si>
    <t>TCID-PARKING-CONFIG-014</t>
  </si>
  <si>
    <t>Verify if a user can book a slot after the defined default parking hours</t>
  </si>
  <si>
    <t>1. Login as user
2. Attempt to process a booking after the end of the default parking hours</t>
  </si>
  <si>
    <t>TCID-PARKING-CONFIG-015</t>
  </si>
  <si>
    <t>Verify if a user can book a slot during the duration of the defined default parking hours</t>
  </si>
  <si>
    <t>1. Login as user
2. Attempt to process a booking at any given time during the duration of the default parking hours</t>
  </si>
  <si>
    <t>TCID-PARKING-CONFIG-016</t>
  </si>
  <si>
    <t>Verify if the users in the waitlist are notified in order</t>
  </si>
  <si>
    <t>1. Login as a user
2. Process a booking under a fully booked building</t>
  </si>
  <si>
    <t>Notification should be received</t>
  </si>
  <si>
    <t>TCID-PARKING-CONFIG-017</t>
  </si>
  <si>
    <t>Verify if the changes to a building's configuration can be saved</t>
  </si>
  <si>
    <t>1. Login to the admin panel
2. Select a building
3. Configure the parameters
4. Click Save</t>
  </si>
  <si>
    <t>Changes saved</t>
  </si>
  <si>
    <t>TCID-PARKING-CONFIG-018</t>
  </si>
  <si>
    <t>Verify if the changes to a building's configuration will be lost when the user exits Parking Config without saving</t>
  </si>
  <si>
    <t>1. Login to the admin panel
2. Select a building
3. Configure the parameters
4. Exit without saving</t>
  </si>
  <si>
    <t>No changes were saved</t>
  </si>
  <si>
    <t>TCID-RESERVATION-MANAGEMENT-001</t>
  </si>
  <si>
    <t>Parking Attendant Dashboard</t>
  </si>
  <si>
    <t>Verify that an attendant can successfully confirm a booking reservation using the Confirm button</t>
  </si>
  <si>
    <t>1. Login to the app using an attendant account
2. Select an active booking
3. Click Confirm</t>
  </si>
  <si>
    <t>Email: synthtwo@cebuana.com
Role: Attendant</t>
  </si>
  <si>
    <t>The booking will be confirmed, status will change to Confirmed and Confirmed count should be updated</t>
  </si>
  <si>
    <t>TCID-PARKING-ATTENDANT-001</t>
  </si>
  <si>
    <t>Verify that an attendant cannot tag a booking as a no-show once it has been confirmed</t>
  </si>
  <si>
    <t>1. Login to the app using an attendant account
2. Select an active booking
3. Click Confirm
4. Locate the confirmed booking and tap the No-Show button</t>
  </si>
  <si>
    <t>The no-show button must either be invisible or not clickable</t>
  </si>
  <si>
    <t>Booking confirmed -&gt; changed status to No-Show</t>
  </si>
  <si>
    <t>PPA-26</t>
  </si>
  <si>
    <t>Verify that an attendant can successfully confirm a booking reservation using the QR Code</t>
  </si>
  <si>
    <t>1. Login to the app using an attendant account
2. Click the scan qr icon</t>
  </si>
  <si>
    <t>Attendant should successfully confirm a booking reservation and status should change from Reserved  to Confirmed</t>
  </si>
  <si>
    <t>No options to scan a QR code</t>
  </si>
  <si>
    <t>PPA-25</t>
  </si>
  <si>
    <t>TCID-PARKING-ATTENDANT-002</t>
  </si>
  <si>
    <t>Verify that Attendant can view all bookings based on date selected</t>
  </si>
  <si>
    <t>1. Login to the app using an attendant account
2. Click the date
3. Select the date</t>
  </si>
  <si>
    <t>Date: February 27</t>
  </si>
  <si>
    <t>List of reservations should display</t>
  </si>
  <si>
    <t>TCID-PARKING-ATTENDANT-003</t>
  </si>
  <si>
    <t>Verify that Attendant can redirect back on today's reservation</t>
  </si>
  <si>
    <t>1. Login to the app using an attendant account
2. Click the date
3. Select the date
4. Click today</t>
  </si>
  <si>
    <t>List of reservation for today should display with the accurate Reserved, Confirmed, and No Shows count</t>
  </si>
  <si>
    <t>TCID-PARKING-ATTENDANT-004</t>
  </si>
  <si>
    <t>Verify if the Scan QR button will display a pop-up dialogue that will enable the user to input a QR Code token</t>
  </si>
  <si>
    <t>The Scan QR code pop-up will be displayed</t>
  </si>
  <si>
    <t>No option to scan QR code</t>
  </si>
  <si>
    <t>TCID-PARKING-ATTENDANT-005</t>
  </si>
  <si>
    <t>Verify if the user can input alphanumeric characters in the QR Token field in the Scan QR Code pop-up</t>
  </si>
  <si>
    <t>Alphanumeric texts are allowed</t>
  </si>
  <si>
    <t>As expected; no length limiter is active</t>
  </si>
  <si>
    <t>TCID-PARKING-ATTENDANT-006</t>
  </si>
  <si>
    <t>Verify if the user can validate a valid QR token</t>
  </si>
  <si>
    <t>1. Login to the app using an attendant account
2. Click the scan qr icon
3. Enter a QR token
4. Click Look Up</t>
  </si>
  <si>
    <t>QR token validated</t>
  </si>
  <si>
    <t>TCID-PARKING-ATTENDANT-007</t>
  </si>
  <si>
    <t>Verify if the user will be met with a warning or error message when attempting to validate an invalid QR token</t>
  </si>
  <si>
    <t>Invalid token not accepted</t>
  </si>
  <si>
    <t>TCID-PARKING-ATTENDANT-008</t>
  </si>
  <si>
    <t>Verify that the details in Dashboard will update if the Admin cancels a confirmed booking reservation</t>
  </si>
  <si>
    <t>1. Login to the app using an attendant account</t>
  </si>
  <si>
    <t>Confirmed count should be updated and the status of the confirmed parking reservation should be updated to Cancelled</t>
  </si>
  <si>
    <t>TCID-PARKING-ATTENDANT-009</t>
  </si>
  <si>
    <t>Verify that the details in Dashboard will update if the Admin cancels a reserved booking reservation</t>
  </si>
  <si>
    <t>Reserved count should be updated and the status of the reserved parking reservation should be updated to Cancelled</t>
  </si>
  <si>
    <t>TCID-PARKING-ATTENDANT-010</t>
  </si>
  <si>
    <t>Verify that details will be updated upon edit by Admin on Attendant's details</t>
  </si>
  <si>
    <t>1. Login to the website as Attendant</t>
  </si>
  <si>
    <t>Dashboard will display with update on ff. details:
Name
List of reservation</t>
  </si>
  <si>
    <t>TCID-PARKING-ATTENDANT-011</t>
  </si>
  <si>
    <t>Verify if the user can scan a QR code for a reservation</t>
  </si>
  <si>
    <t>1. Login to the app using an attendant account
2. Click the scan qr icon
3. Scan QR code</t>
  </si>
  <si>
    <t>QR code scanned successfully; booking confirmed</t>
  </si>
  <si>
    <t>TCID-PARKING-ATTENDANT-012</t>
  </si>
  <si>
    <t>Verify if the user can scan a QR code not intended for a reservaiton</t>
  </si>
  <si>
    <t>QR code scan failure; booking not confirmed</t>
  </si>
  <si>
    <t>TCID-PARKING-ATTENDANT-013</t>
  </si>
  <si>
    <t>Verify that Parking Attendant can filter reservations by Assigned Building</t>
  </si>
  <si>
    <t>1. Login to the app using an attendant account
2. Click the building dropdown
3. Select building</t>
  </si>
  <si>
    <t>List of reservations under selected building should display</t>
  </si>
  <si>
    <t>No options to filter buildings</t>
  </si>
  <si>
    <t>TCID-PARKING-ATTENDANT-014</t>
  </si>
  <si>
    <t>Verify that the details in Dashboard will update if the User cancels a confirmed booking reservation</t>
  </si>
  <si>
    <t>TCID-PARKING-ATTENDANT-015</t>
  </si>
  <si>
    <t>Verify details if the Attendant re-scans a QR code with a Confirmed status</t>
  </si>
  <si>
    <t>1. Login to the website using an attendant account
2. Click the QR code
3. Scan the QR code</t>
  </si>
  <si>
    <t>QR code scanned successfully, displaying details of the User and Vehicle</t>
  </si>
  <si>
    <t>TCID-ATTENDANT-MANAGEMENT-001</t>
  </si>
  <si>
    <t>Attendants</t>
  </si>
  <si>
    <t>Verify that Admin can view list of Attendants</t>
  </si>
  <si>
    <t>1. Upon login, click the Attendants on the sidebar</t>
  </si>
  <si>
    <t>Admin will be redirected in the Parking Attendants page with the ff. details:
Name
Email
Assigned Building
Actions</t>
  </si>
  <si>
    <t>TCID-ATTENDANT-MANAGEMENT-002</t>
  </si>
  <si>
    <t>Verify that Admin can add a new Attendant</t>
  </si>
  <si>
    <t>1. In Parking Attendants page, click Add Attendant
2. Fill in details
3. Click Create</t>
  </si>
  <si>
    <t>Add New Attendant modal popup page should close, "Attendant created successfully" popup page should display, and Parking Attendants page should display with the newly added Attendant</t>
  </si>
  <si>
    <t>TCID-ATTENDANT-MANAGEMENT-003</t>
  </si>
  <si>
    <t>Verify that Admin can cancel adding a new Attendant using the Cancel button</t>
  </si>
  <si>
    <t>1. In Parking Attendants page, click Add Attendant
2. Click Cancel</t>
  </si>
  <si>
    <t>Add New Attendant modal popup page should close and account should not be created</t>
  </si>
  <si>
    <t>TCID-ATTENDANT-MANAGEMENT-004</t>
  </si>
  <si>
    <t>Verify that Admin can cancel adding a new Attendant using the close button</t>
  </si>
  <si>
    <t>1. In Parking Attendants page, click Add Attendant
2. Click X</t>
  </si>
  <si>
    <t>TCID-ATTENDANT-MANAGEMENT-005</t>
  </si>
  <si>
    <t>Verify that Admin can successfully update Attendant's details</t>
  </si>
  <si>
    <t>1. In Parking Attendants page, click the ellipses on the Attendant
2. Click Edit
3. Update details
4. Click Update</t>
  </si>
  <si>
    <t>Edit Attendant modal popup page should close, "Attendant updated successfully" popup page should display, and Parking Attendants page should display with the updated Attendant's details</t>
  </si>
  <si>
    <t>TCID-ATTENDANT-MANAGEMENT-006</t>
  </si>
  <si>
    <t>Verify that Admin can successfully delete an Attendant</t>
  </si>
  <si>
    <t>1. In Parking Attendants page, click the ellipses on the Attendant
2. Click Delete
3. Click OK</t>
  </si>
  <si>
    <t>Confirmation modal page should close, "Attendant deleted" popup page should display, and Parking Attendants page should display without the deleted Attendant</t>
  </si>
  <si>
    <t>TCID-ATTENDANT-MANAGEMENT-007</t>
  </si>
  <si>
    <t>Verify that Admin cannot create an Attendant account if required fields aren't fill in</t>
  </si>
  <si>
    <t>1. In Parking Attendants page, click Add Attendant
2. Fill in all details except for Assigned Building
3. Click Create</t>
  </si>
  <si>
    <t>Field validation should display and should not allow Admin to create an account</t>
  </si>
  <si>
    <t>Successfully creates Attendant account</t>
  </si>
  <si>
    <t>PPA-35</t>
  </si>
  <si>
    <t>TCID-ATTENDANT-MANAGEMENT-008</t>
  </si>
  <si>
    <t>Verify that Attendants created from the Attendant Management page will also display in User Management page</t>
  </si>
  <si>
    <t>1. Login as Admin
2. Navigate to User Management
3. Search for an Attendant created from Attendant Management page</t>
  </si>
  <si>
    <t>TCID-ATTENDANT-MANAGEMENT-009</t>
  </si>
  <si>
    <t>Verify that Attendants deleted from the Attendant Management page will also not display in User Management page</t>
  </si>
  <si>
    <t>1. Login as Admin
2. Navigate to User Management
3. Search for an Attendant deleted from Attendant Management page</t>
  </si>
  <si>
    <t>Should display No users found</t>
  </si>
  <si>
    <t>TCID-ATTENDANT-MANAGEMENT-010</t>
  </si>
  <si>
    <t>Verify that Admin can cancel deleting an Attendant</t>
  </si>
  <si>
    <t>1. In Parking Attendants page, click the ellipses on the Attendant
2. Click Delete
3. Click Cancel</t>
  </si>
  <si>
    <t>Confirmation modal page should close and account should not be deleted</t>
  </si>
  <si>
    <t>TCID-ATTENDANT-MANAGEMENT-011</t>
  </si>
  <si>
    <t>Verify that Admin can assign Attendant to multple buildings</t>
  </si>
  <si>
    <t>1. In Parking Attendants page, click the ellipses on the Attendant
2. Click Edit
3. Assign Attendant to multiple buildings
4. Click Update</t>
  </si>
  <si>
    <t>Unable to assign Attendant to multiple buildings</t>
  </si>
  <si>
    <t>PPA-44</t>
  </si>
  <si>
    <t>TCID-ZONE-MANAGEMENT-001</t>
  </si>
  <si>
    <r>
      <rPr>
        <sz val="11"/>
        <color rgb="FF000000"/>
        <rFont val="Calibri"/>
      </rPr>
      <t xml:space="preserve">Verify if the following UI elements can be seen in the Zone Management screen:
</t>
    </r>
    <r>
      <rPr>
        <b/>
        <i/>
        <sz val="11"/>
        <color rgb="FF000000"/>
        <rFont val="Calibri"/>
      </rPr>
      <t>Total Zones
Buildings in Zones
Assigned Users
Unassigned Users
Short list of Unassigned users (with total number displayed)
Created Zones
Create Zone button</t>
    </r>
  </si>
  <si>
    <t>1. Login to the admin panel
2. Click Zone Management</t>
  </si>
  <si>
    <t>Email: cardinal.test@cebuana.com
Role: Admin</t>
  </si>
  <si>
    <t>UI elements displayed</t>
  </si>
  <si>
    <t>TCID-ZONE-MANAGEMENT-002</t>
  </si>
  <si>
    <r>
      <t xml:space="preserve">Verify if the card for a zone displays the following information:
</t>
    </r>
    <r>
      <rPr>
        <b/>
        <sz val="11"/>
        <color rgb="FF000000"/>
        <rFont val="Calibri"/>
      </rPr>
      <t xml:space="preserve">Zone Name
Total number of buildings inside the zone
Edit Button
Delete Button
Name of buildings in the zone
Total number of users registered to the zone
List of users registered to the zone
</t>
    </r>
  </si>
  <si>
    <t>TCID-ZONE-MANAGEMENT-003</t>
  </si>
  <si>
    <t>Verify if the number displayed in the Total Zones are accurate</t>
  </si>
  <si>
    <t>Total zone number accurate; all zones displayed below</t>
  </si>
  <si>
    <t>TCID-ZONE-MANAGEMENT-004</t>
  </si>
  <si>
    <t>Verify if the number displayed in Buildings in Zones are accurate</t>
  </si>
  <si>
    <t>Data displayed accurate</t>
  </si>
  <si>
    <t>A building is displayed under a zone but is tagged as unknown</t>
  </si>
  <si>
    <t>PPA-38</t>
  </si>
  <si>
    <t>TCID-ZONE-MANAGEMENT-005</t>
  </si>
  <si>
    <t>Verify if a building can be included in more than one (1) zone</t>
  </si>
  <si>
    <t>1. Login to the admin panel
2. Click Zone Management
3. Select and edit a zone
4. Include a building into multiple zones</t>
  </si>
  <si>
    <r>
      <rPr>
        <sz val="11"/>
        <color rgb="FF000000"/>
        <rFont val="Calibri"/>
        <scheme val="minor"/>
      </rPr>
      <t xml:space="preserve">The user can save the changes and it will be reflected on the Zone card
</t>
    </r>
    <r>
      <rPr>
        <b/>
        <i/>
        <sz val="11"/>
        <color rgb="FF000000"/>
        <rFont val="Calibri"/>
        <scheme val="minor"/>
      </rPr>
      <t>"Zone updated"</t>
    </r>
  </si>
  <si>
    <t>TCID-ZONE-MANAGEMENT-006</t>
  </si>
  <si>
    <t>Verify if users can be added to a zone when editing a zone's details</t>
  </si>
  <si>
    <t>1. Login to the admin panel
2. Click Zone Management
3. Select and edit a zone
4. Include a user into multiple zones</t>
  </si>
  <si>
    <t>Users added successfully</t>
  </si>
  <si>
    <t>TCID-ZONE-MANAGEMENT-007</t>
  </si>
  <si>
    <t>Verify if users can be added to multiple zones</t>
  </si>
  <si>
    <t>Multiple users added successfully</t>
  </si>
  <si>
    <t>TCID-ZONE-MANAGEMENT-008</t>
  </si>
  <si>
    <t>Verify if a user can create a new zone</t>
  </si>
  <si>
    <t>1. Login to the admin panel
2. Click Zone Management
3. Click Create Zone
4. Input the zone's name
5. Select buildings from the list provided
6. Select users from the list provided
7. Click Create Zone</t>
  </si>
  <si>
    <t>Zone created successfully</t>
  </si>
  <si>
    <t>TCID-ZONE-MANAGEMENT-009</t>
  </si>
  <si>
    <t>Verify if a user can cancel creating a new zone and the changes won't be saved</t>
  </si>
  <si>
    <t>1. Login to the admin panel
2. Click Zone Management
3. Click Create Zone
4. Input the zone's name
5. Select buildings from the list provided
6. Select users from the list provided
7. Click Cancel</t>
  </si>
  <si>
    <t>Workflow cancelled and no changes were saved</t>
  </si>
  <si>
    <t>TCID-ZONE-MANAGEMENT-010</t>
  </si>
  <si>
    <t>Verify if the assigned and unassigned users equals to the total number of users registered in the app</t>
  </si>
  <si>
    <t>Info accurate
Total Users = Assigned Users + Unassigned users</t>
  </si>
  <si>
    <t>TCID-ZONE-MANAGEMENT-011</t>
  </si>
  <si>
    <t>Verify if a user can save a created zone without providing a zone name</t>
  </si>
  <si>
    <t>1. Login to the admin panel
2. Click Zone Management
3. Click Create Zone
4. Select buildings from the list provided
5. Select users from the list provided
6. Click Create Zone</t>
  </si>
  <si>
    <r>
      <rPr>
        <sz val="11"/>
        <color rgb="FF000000"/>
        <rFont val="Calibri"/>
        <scheme val="minor"/>
      </rPr>
      <t xml:space="preserve">System will require user to input a zone name
</t>
    </r>
    <r>
      <rPr>
        <b/>
        <i/>
        <sz val="11"/>
        <color rgb="FF000000"/>
        <rFont val="Calibri"/>
        <scheme val="minor"/>
      </rPr>
      <t xml:space="preserve">Please fill in this field </t>
    </r>
    <r>
      <rPr>
        <sz val="11"/>
        <color rgb="FF000000"/>
        <rFont val="Calibri"/>
        <scheme val="minor"/>
      </rPr>
      <t>(Zone Name)</t>
    </r>
  </si>
  <si>
    <t>TCID-ZONE-MANAGEMENT-012</t>
  </si>
  <si>
    <t>Verify if a user can save a created zone without selecting at least one (1) building</t>
  </si>
  <si>
    <t>1. Login to the admin panel
2. Click Zone Management
3. Provide a building name
4. Click Create Zone</t>
  </si>
  <si>
    <r>
      <rPr>
        <sz val="11"/>
        <color rgb="FF000000"/>
        <rFont val="Calibri"/>
        <scheme val="minor"/>
      </rPr>
      <t xml:space="preserve">System will require at least one (1) building to be selected
</t>
    </r>
    <r>
      <rPr>
        <b/>
        <i/>
        <sz val="11"/>
        <color rgb="FF000000"/>
        <rFont val="Calibri"/>
        <scheme val="minor"/>
      </rPr>
      <t>Select at least one (1) building</t>
    </r>
  </si>
  <si>
    <t>TCID-ZONE-MANAGEMENT-013</t>
  </si>
  <si>
    <t>Verify if a user can save a created zone with selected users</t>
  </si>
  <si>
    <t>TCID-ZONE-MANAGEMENT-014</t>
  </si>
  <si>
    <t>Verify if a user can save a created zone without selected users</t>
  </si>
  <si>
    <t>1. Login to the admin panel
2. Click Zone Management
3. Click Create Zone
4. Input the zone's name
5. Select buildings from the list provided
6. Click Create Zone</t>
  </si>
  <si>
    <t>TCID-ZONE-MANAGEMENT-015</t>
  </si>
  <si>
    <t>Verify if a zone can be deleted</t>
  </si>
  <si>
    <t>1. Login to the admin panel
2. Click Zone Management
3. Click the trash icon in the zone card beside the zone's name</t>
  </si>
  <si>
    <t>Zone deleted successfully</t>
  </si>
  <si>
    <t>TCID-BUILDING-POLICIES-001</t>
  </si>
  <si>
    <t>Building Policy</t>
  </si>
  <si>
    <t>Verify if the user can select a specific building to apply a building policy to</t>
  </si>
  <si>
    <t>1. Login to the Admin Panel
2. Click Building Policy</t>
  </si>
  <si>
    <t>Building picker active; dropdown menu will display list of available buildings for selection</t>
  </si>
  <si>
    <t>TCID-BUILDING-POLICIES-002</t>
  </si>
  <si>
    <t>Verify if the list of available policies for implementation will appear once a building has been selected</t>
  </si>
  <si>
    <t>List of available policies displayed</t>
  </si>
  <si>
    <t>TCID-BUILDING-POLICIES-003</t>
  </si>
  <si>
    <t>Verify if a policy can be enabled</t>
  </si>
  <si>
    <t>1. Login to the Admin Panel
2. Click Building Policy
3. Select a policy
4. Click Enable Policy</t>
  </si>
  <si>
    <t>"Policy enabled"</t>
  </si>
  <si>
    <t>TCID-BUILDING-POLICIES-004</t>
  </si>
  <si>
    <t>Verify if a policy can be disabled</t>
  </si>
  <si>
    <t>1. Login to the Admin Panel
2. Click Building Policy
3. Select a policy
4. Click Enabled</t>
  </si>
  <si>
    <t>"Policy disabled"</t>
  </si>
  <si>
    <t>TCID-BUILDING-POLICIES-005</t>
  </si>
  <si>
    <t>Determine if a user can change the maximum number of users per slot</t>
  </si>
  <si>
    <t>1. Login to the Admin Panel
2. Click Building Policy
3. Select a policy
4. Click Enable Policy
5. Input the desired number of users per slot</t>
  </si>
  <si>
    <t>Policy will be updated</t>
  </si>
  <si>
    <t>TCID-BUILDING-POLICIES-006</t>
  </si>
  <si>
    <t>Verify if a sticker number is required when registering a user to a parking slot when the &lt;Required Sticker&gt; parameter is ON</t>
  </si>
  <si>
    <t>1. Login to the Admin Panel
2. Click Building Policy
3. Select a policy
4. Click Enable Policy
5. Set the Required Active parameter to Yes-Required
6. Click Register Users
7. Fill in the necessary details
8. Leave the Sticker Number field blank
9. Click Register</t>
  </si>
  <si>
    <t>Sticker Number should be a required field.</t>
  </si>
  <si>
    <t>Sticker Number field is optional</t>
  </si>
  <si>
    <t>PPA-52</t>
  </si>
  <si>
    <t>TCID-BUILDING-POLICIES-007</t>
  </si>
  <si>
    <t>Verify if a sticker number is optional when registering a user to a parking slot when the &lt;Required Sticker&gt; parameter is OFF</t>
  </si>
  <si>
    <t>1. Login to the Admin Panel
2. Click Building Policy
3. Select a policy
4. Click Enable Policy
5. Set the Required Active parameter to Yes-Required
6. Click Register Users
7. Fill in the necessary details
8. Click Register</t>
  </si>
  <si>
    <t>User is registered to a slot successfully</t>
  </si>
  <si>
    <t>TCID-BUILDING-POLICIES-008</t>
  </si>
  <si>
    <t>Verify if a user can be registered to a parking slot when no vehicle on file can be determined</t>
  </si>
  <si>
    <r>
      <rPr>
        <sz val="11"/>
        <color rgb="FF000000"/>
        <rFont val="Calibri"/>
        <scheme val="minor"/>
      </rPr>
      <t xml:space="preserve">The user to be registered should have a vehicle attached to their account
</t>
    </r>
    <r>
      <rPr>
        <b/>
        <i/>
        <sz val="11"/>
        <color rgb="FF000000"/>
        <rFont val="Calibri"/>
        <scheme val="minor"/>
      </rPr>
      <t>"This user has no registered vehicles"</t>
    </r>
  </si>
  <si>
    <t>TCID-BUILDING-POLICIES-009</t>
  </si>
  <si>
    <t>Verify if a user should only be allowed to be registered to one slot only</t>
  </si>
  <si>
    <t>Should register User to one slot only</t>
  </si>
  <si>
    <t>User is registered to multiple slots successfully</t>
  </si>
  <si>
    <t>PPA-53</t>
  </si>
  <si>
    <t>TCID-BUILDING-POLICIES-010</t>
  </si>
  <si>
    <r>
      <rPr>
        <sz val="11"/>
        <color rgb="FF000000"/>
        <rFont val="Calibri"/>
      </rPr>
      <t xml:space="preserve">Verify if Slot Registrations display the following elements:
</t>
    </r>
    <r>
      <rPr>
        <b/>
        <i/>
        <sz val="11"/>
        <color rgb="FF000000"/>
        <rFont val="Calibri"/>
      </rPr>
      <t>Total number of registrations
Floor numbers
Number of reservations per floor
Number of slots (per floor)
Register User button
Dropdown button</t>
    </r>
  </si>
  <si>
    <t>TCID-BUILDING-POLICIES-011</t>
  </si>
  <si>
    <r>
      <rPr>
        <sz val="11"/>
        <color rgb="FF000000"/>
        <rFont val="Calibri"/>
      </rPr>
      <t xml:space="preserve">When the user clicks the dropdown menu per each floor, verify if the following elements are displayed in the UI:
</t>
    </r>
    <r>
      <rPr>
        <b/>
        <i/>
        <sz val="11"/>
        <color rgb="FF000000"/>
        <rFont val="Calibri"/>
      </rPr>
      <t>Slot name
User
Plate number
Sticker Number (if applicable)
Total number of users registered per slot
Delete icon</t>
    </r>
  </si>
  <si>
    <t>1. Login to the Admin Panel
2. Click Building Policy
3. Select a policy
4. Click Enable Policy
5. Click the dropdown menu icon beside the floor number</t>
  </si>
  <si>
    <t>TCID-BUILDING-POLICIES-012</t>
  </si>
  <si>
    <t>Verify if there will be no user details on a slot if there are no users registered to it</t>
  </si>
  <si>
    <t>"No registrations"</t>
  </si>
  <si>
    <t>TCID-BUILDING-POLICIES-013</t>
  </si>
  <si>
    <t>Verify if a registration can be deleted in a parking slot</t>
  </si>
  <si>
    <t>1. Login to the Admin Panel
2. Click Building Policy
3. Select a policy
4. Click Enable Policy
5. Click the dropdown menu icon beside the floor number
6. Click the trash icon to delete the registered user</t>
  </si>
  <si>
    <t>"Registration revoked"</t>
  </si>
  <si>
    <t>TCID-BUILDING-POLICIES-014</t>
  </si>
  <si>
    <t>Verify if the total number of registrations displayed in the Slot Registrations card will decrease once a registration has been deleted</t>
  </si>
  <si>
    <t>Total number of registrations will be decreased</t>
  </si>
  <si>
    <t>TCID-BUILDING-POLICIES-015</t>
  </si>
  <si>
    <t>Verify that User cannot book if the Dedicated Slot Policy is active and hasn't assigned any slot to him/her</t>
  </si>
  <si>
    <t>1. Login as user
2. Click Reserve Now
3. Select building
4. Select floor 
5. Select a slot</t>
  </si>
  <si>
    <t>Slots should be disabled and User should not be able to book a reservation</t>
  </si>
  <si>
    <t>TCID-BUILDING-POLICIES-016</t>
  </si>
  <si>
    <t>Verify that User can only book specific slots if the Dedicated Slot Policy is active and has assigned slot to him/her</t>
  </si>
  <si>
    <t>Specific slot should be opened and allows User to book a reservation</t>
  </si>
  <si>
    <t>Verify that User can select slots if the Dedicated Slot Policy is disabled</t>
  </si>
  <si>
    <t>All slots should be opened and allows User to book a reservation</t>
  </si>
  <si>
    <t>Unexecuted</t>
  </si>
</sst>
</file>

<file path=xl/styles.xml><?xml version="1.0" encoding="utf-8"?>
<styleSheet xmlns="http://schemas.openxmlformats.org/spreadsheetml/2006/main">
  <fonts count="16">
    <font>
      <sz val="11"/>
      <color theme="1"/>
      <name val="Calibri"/>
      <family val="2"/>
      <scheme val="minor"/>
    </font>
    <font>
      <b/>
      <sz val="9"/>
      <color theme="0"/>
      <name val="Verdana"/>
      <charset val="134"/>
    </font>
    <font>
      <b/>
      <sz val="11"/>
      <color rgb="FF000000"/>
      <name val="Aptos Narrow"/>
      <family val="2"/>
    </font>
    <font>
      <b/>
      <sz val="11"/>
      <color rgb="FF000000"/>
      <name val="Aptos Narrow"/>
    </font>
    <font>
      <sz val="11"/>
      <color rgb="FF000000"/>
      <name val="Calibri"/>
      <family val="2"/>
    </font>
    <font>
      <b/>
      <sz val="11"/>
      <color theme="1"/>
      <name val="Calibri"/>
      <family val="2"/>
      <scheme val="minor"/>
    </font>
    <font>
      <sz val="11"/>
      <color rgb="FF000000"/>
      <name val="Calibri"/>
      <charset val="1"/>
    </font>
    <font>
      <b/>
      <sz val="11"/>
      <color rgb="FF000000"/>
      <name val="Calibri"/>
    </font>
    <font>
      <sz val="11"/>
      <color rgb="FF000000"/>
      <name val="Calibri"/>
    </font>
    <font>
      <b/>
      <i/>
      <sz val="11"/>
      <color rgb="FF000000"/>
      <name val="Calibri"/>
    </font>
    <font>
      <u/>
      <sz val="11"/>
      <color theme="10"/>
      <name val="Calibri"/>
      <family val="2"/>
      <scheme val="minor"/>
    </font>
    <font>
      <sz val="11"/>
      <color rgb="FF000000"/>
      <name val="Calibri"/>
      <scheme val="minor"/>
    </font>
    <font>
      <b/>
      <i/>
      <sz val="11"/>
      <color rgb="FF000000"/>
      <name val="Calibri"/>
      <scheme val="minor"/>
    </font>
    <font>
      <sz val="11"/>
      <color rgb="FF000000"/>
      <name val="Calibri"/>
      <family val="2"/>
      <scheme val="minor"/>
    </font>
    <font>
      <b/>
      <i/>
      <sz val="11"/>
      <color rgb="FF000000"/>
      <name val="Calibri"/>
      <family val="2"/>
      <scheme val="minor"/>
    </font>
    <font>
      <b/>
      <i/>
      <sz val="11"/>
      <color theme="1"/>
      <name val="Calibri"/>
      <family val="2"/>
      <scheme val="minor"/>
    </font>
  </fonts>
  <fills count="8">
    <fill>
      <patternFill patternType="none"/>
    </fill>
    <fill>
      <patternFill patternType="gray125"/>
    </fill>
    <fill>
      <patternFill patternType="solid">
        <fgColor rgb="FF1A65D6"/>
        <bgColor rgb="FF000000"/>
      </patternFill>
    </fill>
    <fill>
      <patternFill patternType="solid">
        <fgColor rgb="FFE87331"/>
        <bgColor rgb="FF000000"/>
      </patternFill>
    </fill>
    <fill>
      <patternFill patternType="solid">
        <fgColor rgb="FF63BE7B"/>
        <bgColor rgb="FF000000"/>
      </patternFill>
    </fill>
    <fill>
      <patternFill patternType="solid">
        <fgColor rgb="FFF03A3A"/>
        <bgColor indexed="64"/>
      </patternFill>
    </fill>
    <fill>
      <patternFill patternType="solid">
        <fgColor rgb="FF00B050"/>
        <bgColor indexed="64"/>
      </patternFill>
    </fill>
    <fill>
      <patternFill patternType="solid">
        <fgColor rgb="FFFFC000"/>
        <bgColor indexed="64"/>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thin">
        <color rgb="FF000000"/>
      </left>
      <right/>
      <top/>
      <bottom style="thin">
        <color rgb="FF000000"/>
      </bottom>
      <diagonal/>
    </border>
    <border>
      <left/>
      <right/>
      <top style="thin">
        <color rgb="FF000000"/>
      </top>
      <bottom/>
      <diagonal/>
    </border>
  </borders>
  <cellStyleXfs count="2">
    <xf numFmtId="0" fontId="0" fillId="0" borderId="0"/>
    <xf numFmtId="0" fontId="10" fillId="0" borderId="0" applyNumberFormat="0" applyFill="0" applyBorder="0" applyAlignment="0" applyProtection="0"/>
  </cellStyleXfs>
  <cellXfs count="105">
    <xf numFmtId="0" fontId="0" fillId="0" borderId="0" xfId="0"/>
    <xf numFmtId="0" fontId="1" fillId="2" borderId="1" xfId="0" applyFont="1" applyFill="1" applyBorder="1" applyAlignment="1">
      <alignment horizontal="center" vertical="center" wrapText="1"/>
    </xf>
    <xf numFmtId="0" fontId="0" fillId="0" borderId="0" xfId="0" applyAlignment="1">
      <alignment vertical="center" wrapText="1"/>
    </xf>
    <xf numFmtId="0" fontId="0" fillId="0" borderId="2" xfId="0" applyBorder="1" applyAlignment="1">
      <alignment vertical="center" wrapText="1"/>
    </xf>
    <xf numFmtId="0" fontId="0" fillId="0" borderId="2" xfId="0" applyBorder="1"/>
    <xf numFmtId="0" fontId="2" fillId="3" borderId="2" xfId="0" applyFont="1" applyFill="1" applyBorder="1" applyAlignment="1">
      <alignment horizontal="center" vertical="center"/>
    </xf>
    <xf numFmtId="0" fontId="3"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4" fillId="0" borderId="1" xfId="0" applyFont="1" applyBorder="1" applyAlignment="1">
      <alignment horizontal="center" vertical="center"/>
    </xf>
    <xf numFmtId="10" fontId="4" fillId="0" borderId="1" xfId="0" applyNumberFormat="1" applyFont="1" applyBorder="1" applyAlignment="1">
      <alignment horizontal="center" vertical="center"/>
    </xf>
    <xf numFmtId="10" fontId="4" fillId="4" borderId="1" xfId="0" applyNumberFormat="1" applyFont="1" applyFill="1" applyBorder="1" applyAlignment="1">
      <alignment horizontal="center" vertical="center"/>
    </xf>
    <xf numFmtId="0" fontId="4" fillId="0" borderId="2" xfId="0" applyFont="1" applyBorder="1" applyAlignment="1">
      <alignment horizontal="center" vertical="center"/>
    </xf>
    <xf numFmtId="0" fontId="0" fillId="5" borderId="2" xfId="0" applyFill="1" applyBorder="1"/>
    <xf numFmtId="0" fontId="0" fillId="0" borderId="0" xfId="0" applyAlignment="1">
      <alignment wrapText="1"/>
    </xf>
    <xf numFmtId="0" fontId="0" fillId="0" borderId="2"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left" vertical="center"/>
    </xf>
    <xf numFmtId="0" fontId="0" fillId="0" borderId="7" xfId="0" applyBorder="1" applyAlignment="1">
      <alignment horizontal="center" vertical="center"/>
    </xf>
    <xf numFmtId="0" fontId="0" fillId="0" borderId="7" xfId="0" applyBorder="1" applyAlignment="1">
      <alignment vertical="center" wrapText="1"/>
    </xf>
    <xf numFmtId="0" fontId="0" fillId="0" borderId="7" xfId="0" applyBorder="1" applyAlignment="1">
      <alignment horizontal="left" vertical="center"/>
    </xf>
    <xf numFmtId="0" fontId="0" fillId="0" borderId="1" xfId="0" applyBorder="1" applyAlignment="1">
      <alignment vertical="center" wrapText="1"/>
    </xf>
    <xf numFmtId="0" fontId="0" fillId="0" borderId="1" xfId="0" applyBorder="1" applyAlignment="1">
      <alignment horizontal="center" vertical="center"/>
    </xf>
    <xf numFmtId="14" fontId="0" fillId="0" borderId="2" xfId="0" applyNumberFormat="1" applyBorder="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1" fillId="2" borderId="2" xfId="0" applyFont="1" applyFill="1" applyBorder="1" applyAlignment="1">
      <alignment horizontal="center" vertical="center" wrapText="1"/>
    </xf>
    <xf numFmtId="0" fontId="7" fillId="0" borderId="2" xfId="0" applyFont="1" applyBorder="1" applyAlignment="1">
      <alignment horizontal="center" vertical="center"/>
    </xf>
    <xf numFmtId="0" fontId="1" fillId="2" borderId="9" xfId="0" applyFont="1" applyFill="1" applyBorder="1" applyAlignment="1">
      <alignment horizontal="center" vertical="center" wrapText="1"/>
    </xf>
    <xf numFmtId="0" fontId="0" fillId="0" borderId="10" xfId="0" applyBorder="1" applyAlignment="1">
      <alignment horizontal="center" vertical="center"/>
    </xf>
    <xf numFmtId="0" fontId="8" fillId="0" borderId="2" xfId="0" applyFont="1" applyBorder="1" applyAlignment="1">
      <alignment vertical="center" wrapText="1"/>
    </xf>
    <xf numFmtId="0" fontId="0" fillId="6" borderId="2" xfId="0" applyFill="1" applyBorder="1"/>
    <xf numFmtId="0" fontId="0" fillId="7" borderId="2" xfId="0" applyFill="1" applyBorder="1"/>
    <xf numFmtId="0" fontId="6" fillId="0" borderId="0" xfId="0" applyFont="1" applyAlignment="1">
      <alignment vertical="center" wrapText="1"/>
    </xf>
    <xf numFmtId="0" fontId="7" fillId="0" borderId="2" xfId="0" applyFont="1" applyBorder="1" applyAlignment="1">
      <alignment horizontal="center" vertical="center" wrapText="1"/>
    </xf>
    <xf numFmtId="0" fontId="0" fillId="0" borderId="10"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left" vertical="center" wrapText="1"/>
    </xf>
    <xf numFmtId="0" fontId="8" fillId="0" borderId="1" xfId="0" applyFont="1" applyBorder="1" applyAlignment="1">
      <alignment vertical="center" wrapText="1"/>
    </xf>
    <xf numFmtId="0" fontId="1" fillId="2" borderId="8" xfId="0" applyFont="1" applyFill="1" applyBorder="1" applyAlignment="1">
      <alignment horizontal="center" vertical="center" wrapText="1"/>
    </xf>
    <xf numFmtId="0" fontId="0" fillId="0" borderId="3" xfId="0" applyBorder="1" applyAlignment="1">
      <alignment vertical="center" wrapText="1"/>
    </xf>
    <xf numFmtId="0" fontId="0" fillId="0" borderId="8" xfId="0" applyBorder="1" applyAlignment="1">
      <alignment vertical="center" wrapText="1"/>
    </xf>
    <xf numFmtId="0" fontId="0" fillId="0" borderId="1" xfId="0" applyBorder="1" applyAlignment="1">
      <alignment horizontal="center" vertical="center" wrapText="1"/>
    </xf>
    <xf numFmtId="0" fontId="10" fillId="0" borderId="2" xfId="1" applyBorder="1" applyAlignment="1">
      <alignment vertical="center" wrapText="1"/>
    </xf>
    <xf numFmtId="14" fontId="0" fillId="0" borderId="7" xfId="0" applyNumberFormat="1" applyBorder="1" applyAlignment="1">
      <alignment horizontal="center" vertical="center"/>
    </xf>
    <xf numFmtId="0" fontId="11" fillId="0" borderId="2" xfId="0" applyFont="1" applyBorder="1" applyAlignment="1">
      <alignment vertical="center" wrapText="1"/>
    </xf>
    <xf numFmtId="0" fontId="10" fillId="0" borderId="2" xfId="1" applyBorder="1" applyAlignment="1">
      <alignment horizontal="left" vertical="center" wrapText="1"/>
    </xf>
    <xf numFmtId="0" fontId="7" fillId="0" borderId="1" xfId="0" applyFont="1"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xf>
    <xf numFmtId="0" fontId="0" fillId="0" borderId="0" xfId="0" applyAlignment="1">
      <alignment vertical="center"/>
    </xf>
    <xf numFmtId="0" fontId="11" fillId="0" borderId="7" xfId="0" applyFont="1" applyBorder="1" applyAlignment="1">
      <alignment vertical="center" wrapText="1"/>
    </xf>
    <xf numFmtId="14" fontId="0" fillId="0" borderId="2" xfId="0" applyNumberFormat="1" applyBorder="1" applyAlignment="1">
      <alignment horizontal="center" vertical="center" wrapText="1"/>
    </xf>
    <xf numFmtId="14" fontId="1" fillId="2" borderId="1" xfId="0" applyNumberFormat="1" applyFont="1" applyFill="1" applyBorder="1" applyAlignment="1">
      <alignment horizontal="center" vertical="center" wrapText="1"/>
    </xf>
    <xf numFmtId="14" fontId="0" fillId="0" borderId="0" xfId="0" applyNumberFormat="1" applyAlignment="1">
      <alignment horizontal="center"/>
    </xf>
    <xf numFmtId="14" fontId="0" fillId="0" borderId="7" xfId="0" applyNumberFormat="1" applyBorder="1" applyAlignment="1">
      <alignment horizontal="center" vertical="center" wrapText="1"/>
    </xf>
    <xf numFmtId="0" fontId="0" fillId="0" borderId="9" xfId="0" applyBorder="1" applyAlignment="1">
      <alignment horizontal="left" vertical="center" wrapText="1"/>
    </xf>
    <xf numFmtId="14" fontId="0" fillId="0" borderId="1" xfId="0" applyNumberFormat="1" applyBorder="1" applyAlignment="1">
      <alignment horizontal="center" vertical="center" wrapText="1"/>
    </xf>
    <xf numFmtId="0" fontId="13" fillId="0" borderId="2" xfId="0" applyFont="1" applyBorder="1" applyAlignment="1">
      <alignment vertical="center" wrapText="1"/>
    </xf>
    <xf numFmtId="0" fontId="0" fillId="0" borderId="3" xfId="0" applyBorder="1" applyAlignment="1">
      <alignment horizontal="center" vertical="center" wrapText="1"/>
    </xf>
    <xf numFmtId="0" fontId="0" fillId="0" borderId="2" xfId="0" applyBorder="1" applyAlignment="1">
      <alignment vertical="center"/>
    </xf>
    <xf numFmtId="0" fontId="10" fillId="0" borderId="2" xfId="1" applyBorder="1" applyAlignment="1">
      <alignment horizontal="left" vertical="center"/>
    </xf>
    <xf numFmtId="0" fontId="8" fillId="0" borderId="2" xfId="0" applyFont="1" applyBorder="1" applyAlignment="1">
      <alignment horizontal="left" vertical="center" wrapText="1"/>
    </xf>
    <xf numFmtId="0" fontId="0" fillId="0" borderId="6" xfId="0" applyBorder="1" applyAlignment="1">
      <alignment vertical="center" wrapText="1"/>
    </xf>
    <xf numFmtId="0" fontId="0" fillId="0" borderId="1" xfId="0" applyBorder="1" applyAlignment="1">
      <alignment vertical="center"/>
    </xf>
    <xf numFmtId="14" fontId="0" fillId="0" borderId="1" xfId="0" applyNumberFormat="1" applyBorder="1" applyAlignment="1">
      <alignment horizontal="center" vertical="center"/>
    </xf>
    <xf numFmtId="0" fontId="0" fillId="0" borderId="1" xfId="0" applyBorder="1" applyAlignment="1">
      <alignment horizontal="left" vertical="center"/>
    </xf>
    <xf numFmtId="14" fontId="0" fillId="0" borderId="0" xfId="0" applyNumberFormat="1" applyAlignment="1">
      <alignment horizontal="center" vertical="center"/>
    </xf>
    <xf numFmtId="14" fontId="1" fillId="2" borderId="2" xfId="0" applyNumberFormat="1" applyFont="1" applyFill="1" applyBorder="1" applyAlignment="1">
      <alignment horizontal="center" vertical="center" wrapText="1"/>
    </xf>
    <xf numFmtId="0" fontId="6" fillId="0" borderId="2" xfId="0" applyFont="1" applyBorder="1" applyAlignment="1">
      <alignment vertical="center" wrapText="1"/>
    </xf>
    <xf numFmtId="0" fontId="0" fillId="0" borderId="13" xfId="0" applyBorder="1" applyAlignment="1">
      <alignment vertical="center" wrapText="1"/>
    </xf>
    <xf numFmtId="0" fontId="10" fillId="0" borderId="1" xfId="1" applyBorder="1" applyAlignment="1">
      <alignment vertical="center"/>
    </xf>
    <xf numFmtId="14" fontId="0" fillId="0" borderId="6" xfId="0" applyNumberFormat="1" applyBorder="1" applyAlignment="1">
      <alignment horizontal="center" vertical="center"/>
    </xf>
    <xf numFmtId="0" fontId="10" fillId="0" borderId="1" xfId="1" applyBorder="1" applyAlignment="1">
      <alignment horizontal="left" vertical="center"/>
    </xf>
    <xf numFmtId="0" fontId="0" fillId="0" borderId="3" xfId="0" applyBorder="1" applyAlignment="1">
      <alignment horizontal="center" vertical="center"/>
    </xf>
    <xf numFmtId="0" fontId="0" fillId="0" borderId="3" xfId="0" applyBorder="1" applyAlignment="1">
      <alignment vertical="center"/>
    </xf>
    <xf numFmtId="0" fontId="0" fillId="0" borderId="12" xfId="0" applyBorder="1" applyAlignment="1">
      <alignment horizontal="center" vertical="center"/>
    </xf>
    <xf numFmtId="0" fontId="0" fillId="0" borderId="11" xfId="0" applyBorder="1" applyAlignment="1">
      <alignment horizontal="center" vertical="center" wrapText="1"/>
    </xf>
    <xf numFmtId="0" fontId="0" fillId="0" borderId="2" xfId="0" applyBorder="1" applyAlignment="1">
      <alignment wrapText="1"/>
    </xf>
    <xf numFmtId="0" fontId="0" fillId="0" borderId="9" xfId="0" applyBorder="1" applyAlignment="1">
      <alignment vertical="center" wrapText="1"/>
    </xf>
    <xf numFmtId="0" fontId="0" fillId="0" borderId="5" xfId="0" applyBorder="1" applyAlignment="1">
      <alignment vertical="center" wrapText="1"/>
    </xf>
    <xf numFmtId="0" fontId="0" fillId="0" borderId="5" xfId="0" applyBorder="1" applyAlignment="1">
      <alignment wrapText="1"/>
    </xf>
    <xf numFmtId="0" fontId="0" fillId="0" borderId="9" xfId="0" applyBorder="1" applyAlignment="1">
      <alignment horizontal="center" vertical="center"/>
    </xf>
    <xf numFmtId="0" fontId="11" fillId="0" borderId="3" xfId="0" applyFont="1" applyBorder="1" applyAlignment="1">
      <alignment vertical="center" wrapText="1"/>
    </xf>
    <xf numFmtId="0" fontId="7" fillId="0" borderId="5" xfId="0" applyFont="1" applyBorder="1" applyAlignment="1">
      <alignment horizontal="center" vertical="center"/>
    </xf>
    <xf numFmtId="0" fontId="7" fillId="0" borderId="10" xfId="0" applyFont="1" applyBorder="1" applyAlignment="1">
      <alignment horizontal="center" vertical="center"/>
    </xf>
    <xf numFmtId="0" fontId="0" fillId="0" borderId="8" xfId="0" applyBorder="1" applyAlignment="1">
      <alignment horizontal="center" vertical="center"/>
    </xf>
    <xf numFmtId="0" fontId="7" fillId="0" borderId="11" xfId="0" applyFont="1" applyBorder="1" applyAlignment="1">
      <alignment horizontal="center" vertical="center"/>
    </xf>
    <xf numFmtId="0" fontId="11" fillId="0" borderId="8" xfId="0" applyFont="1" applyBorder="1" applyAlignment="1">
      <alignment vertical="center" wrapText="1"/>
    </xf>
    <xf numFmtId="0" fontId="0" fillId="0" borderId="1" xfId="0" applyBorder="1" applyAlignment="1">
      <alignment wrapText="1"/>
    </xf>
    <xf numFmtId="0" fontId="0" fillId="0" borderId="2" xfId="0" quotePrefix="1" applyBorder="1" applyAlignment="1">
      <alignment vertical="center" wrapText="1"/>
    </xf>
    <xf numFmtId="0" fontId="14" fillId="0" borderId="2" xfId="0" applyFont="1" applyBorder="1" applyAlignment="1">
      <alignment vertical="center" wrapText="1"/>
    </xf>
    <xf numFmtId="0" fontId="15" fillId="0" borderId="2" xfId="0" applyFont="1" applyBorder="1" applyAlignment="1">
      <alignment vertical="center" wrapText="1"/>
    </xf>
    <xf numFmtId="0" fontId="1" fillId="2" borderId="14" xfId="0" applyFont="1" applyFill="1" applyBorder="1" applyAlignment="1">
      <alignment horizontal="center" vertical="center" wrapText="1"/>
    </xf>
    <xf numFmtId="0" fontId="8" fillId="0" borderId="7" xfId="0" applyFont="1" applyBorder="1" applyAlignment="1">
      <alignment vertical="center" wrapText="1"/>
    </xf>
    <xf numFmtId="0" fontId="0" fillId="0" borderId="2" xfId="0" applyBorder="1" applyAlignment="1">
      <alignment horizontal="center" wrapText="1"/>
    </xf>
    <xf numFmtId="0" fontId="0" fillId="0" borderId="4" xfId="0" applyBorder="1" applyAlignment="1">
      <alignment horizontal="center" vertical="center"/>
    </xf>
    <xf numFmtId="0" fontId="5" fillId="0" borderId="1"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cellXfs>
  <cellStyles count="2">
    <cellStyle name="Hyperlink" xfId="1" builtinId="8"/>
    <cellStyle name="Normal" xfId="0" builtinId="0"/>
  </cellStyles>
  <dxfs count="90">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
      <font>
        <color theme="1"/>
      </font>
      <fill>
        <patternFill patternType="solid">
          <bgColor rgb="FFFFC000"/>
        </patternFill>
      </fill>
    </dxf>
    <dxf>
      <font>
        <color theme="1"/>
      </font>
      <fill>
        <patternFill patternType="solid">
          <bgColor theme="0" tint="-0.249977111117893"/>
        </patternFill>
      </fill>
    </dxf>
    <dxf>
      <font>
        <color rgb="FF9C0006"/>
      </font>
      <fill>
        <patternFill patternType="solid">
          <bgColor rgb="FF00B0F0"/>
        </patternFill>
      </fill>
    </dxf>
    <dxf>
      <fill>
        <patternFill>
          <bgColor rgb="FFFFC7CE"/>
        </patternFill>
      </fill>
    </dxf>
    <dxf>
      <font>
        <color theme="1"/>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jlhuillier.atlassian.net/browse/PPA-34" TargetMode="External"/><Relationship Id="rId2" Type="http://schemas.openxmlformats.org/officeDocument/2006/relationships/hyperlink" Target="https://pjlhuillier.atlassian.net/browse/PPA-33" TargetMode="External"/><Relationship Id="rId1" Type="http://schemas.openxmlformats.org/officeDocument/2006/relationships/hyperlink" Target="https://pjlhuillier.atlassian.net/browse/PPA-3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pjlhuillier.atlassian.net/jira/software/projects/PPA/boards/2166?selectedIssue=PPA-48" TargetMode="External"/><Relationship Id="rId2" Type="http://schemas.openxmlformats.org/officeDocument/2006/relationships/hyperlink" Target="https://pjlhuillier.atlassian.net/jira/software/projects/PPA/boards/2166?selectedIssue=PPA-40" TargetMode="External"/><Relationship Id="rId1" Type="http://schemas.openxmlformats.org/officeDocument/2006/relationships/hyperlink" Target="https://pjlhuillier.atlassian.net/jira/software/projects/PPA/boards/2166?selectedIssue=PPA-37"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jlhuillier.atlassian.net/jira/software/projects/PPA/boards/2166?selectedIssue=PPA-4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jlhuillier.atlassian.net/jira/software/projects/PPA/boards/2166?selectedIssue=PPA-49" TargetMode="External"/><Relationship Id="rId2" Type="http://schemas.openxmlformats.org/officeDocument/2006/relationships/hyperlink" Target="https://pjlhuillier.atlassian.net/jira/software/projects/PPA/boards/2166?selectedIssue=PPA-49" TargetMode="External"/><Relationship Id="rId1" Type="http://schemas.openxmlformats.org/officeDocument/2006/relationships/hyperlink" Target="https://pjlhuillier.atlassian.net/browse/PPA-31" TargetMode="External"/><Relationship Id="rId4" Type="http://schemas.openxmlformats.org/officeDocument/2006/relationships/hyperlink" Target="https://pjlhuillier.atlassian.net/jira/software/projects/PPA/boards/2166?selectedIssue=PPA-49"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pjlhuillier.atlassian.net/jira/software/projects/PPA/boards/2166?selectedIssue=PPA-25" TargetMode="External"/><Relationship Id="rId1" Type="http://schemas.openxmlformats.org/officeDocument/2006/relationships/hyperlink" Target="https://pjlhuillier.atlassian.net/jira/software/projects/PPA/boards/2166?selectedIssue=PPA-26"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pjlhuillier.atlassian.net/jira/software/projects/PPA/boards/2166?selectedIssue=PPA-44" TargetMode="External"/><Relationship Id="rId1" Type="http://schemas.openxmlformats.org/officeDocument/2006/relationships/hyperlink" Target="https://pjlhuillier.atlassian.net/jira/software/projects/PPA/boards/2166?selectedIssue=PPA-35"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pjlhuillier.atlassian.net/browse/PPA-38"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pjlhuillier.atlassian.net/jira/software/projects/PPA/boards/2166?selectedIssue=PPA-53" TargetMode="External"/><Relationship Id="rId1" Type="http://schemas.openxmlformats.org/officeDocument/2006/relationships/hyperlink" Target="https://pjlhuillier.atlassian.net/jira/software/projects/PPA/boards/2166?selectedIssue=PPA-52" TargetMode="External"/></Relationships>
</file>

<file path=xl/worksheets/sheet1.xml><?xml version="1.0" encoding="utf-8"?>
<worksheet xmlns="http://schemas.openxmlformats.org/spreadsheetml/2006/main" xmlns:r="http://schemas.openxmlformats.org/officeDocument/2006/relationships">
  <dimension ref="A2:K25"/>
  <sheetViews>
    <sheetView topLeftCell="A2" workbookViewId="0">
      <selection activeCell="F22" sqref="F22"/>
    </sheetView>
  </sheetViews>
  <sheetFormatPr defaultColWidth="0" defaultRowHeight="15" customHeight="1" zeroHeight="1"/>
  <cols>
    <col min="1" max="1" width="26.7265625" bestFit="1" customWidth="1"/>
    <col min="2" max="2" width="11.26953125" bestFit="1" customWidth="1"/>
    <col min="3" max="4" width="9.1796875" customWidth="1"/>
    <col min="5" max="5" width="13.453125" bestFit="1" customWidth="1"/>
    <col min="6" max="6" width="13.453125" customWidth="1"/>
    <col min="7" max="7" width="16.26953125" bestFit="1" customWidth="1"/>
    <col min="8" max="8" width="13.81640625" customWidth="1"/>
    <col min="9" max="9" width="11.26953125" customWidth="1"/>
    <col min="10" max="10" width="10.81640625" customWidth="1"/>
    <col min="11" max="11" width="30.81640625" customWidth="1"/>
  </cols>
  <sheetData>
    <row r="2" spans="1:11" ht="14.5">
      <c r="A2" s="5" t="s">
        <v>0</v>
      </c>
      <c r="B2" s="5" t="s">
        <v>1</v>
      </c>
      <c r="C2" s="5" t="s">
        <v>2</v>
      </c>
      <c r="D2" s="5" t="s">
        <v>3</v>
      </c>
      <c r="E2" s="5" t="s">
        <v>4</v>
      </c>
      <c r="F2" s="7" t="s">
        <v>5</v>
      </c>
      <c r="G2" s="6" t="s">
        <v>6</v>
      </c>
      <c r="H2" s="7" t="s">
        <v>7</v>
      </c>
      <c r="I2" s="7" t="s">
        <v>8</v>
      </c>
      <c r="J2" s="7" t="s">
        <v>9</v>
      </c>
      <c r="K2" s="7" t="s">
        <v>10</v>
      </c>
    </row>
    <row r="3" spans="1:11" ht="14.5">
      <c r="A3" s="8" t="s">
        <v>11</v>
      </c>
      <c r="B3" s="8">
        <f>SUM(C3:E3)</f>
        <v>12</v>
      </c>
      <c r="C3" s="8">
        <f>COUNTIF('Vehicle Management'!I:I,Summary!C2)</f>
        <v>10</v>
      </c>
      <c r="D3" s="8">
        <f>COUNTIF('Vehicle Management'!I:I,Summary!D2)</f>
        <v>2</v>
      </c>
      <c r="E3" s="8">
        <f>COUNTIF('Vehicle Management'!I:I,Summary!E2)</f>
        <v>0</v>
      </c>
      <c r="F3" s="8">
        <f>COUNTIF('Vehicle Management'!I:I,Summary!F2)</f>
        <v>0</v>
      </c>
      <c r="G3" s="8">
        <f>COUNTIF('Vehicle Management'!I:I,Summary!G2)</f>
        <v>0</v>
      </c>
      <c r="H3" s="9">
        <f t="shared" ref="H3:H6" si="0">IFERROR(E3/(B3),0)</f>
        <v>0</v>
      </c>
      <c r="I3" s="9">
        <f t="shared" ref="I3:I5" si="1">IFERROR(C3/(B3),0)</f>
        <v>0.83333333333333337</v>
      </c>
      <c r="J3" s="9">
        <f t="shared" ref="J3:J5" si="2">IFERROR(D3/(B3),0)</f>
        <v>0.16666666666666666</v>
      </c>
      <c r="K3" s="10">
        <f>IFERROR((C3+D3)/B3, 0)</f>
        <v>1</v>
      </c>
    </row>
    <row r="4" spans="1:11" ht="14.5">
      <c r="A4" s="8" t="s">
        <v>12</v>
      </c>
      <c r="B4" s="8">
        <f>SUM(C4:E4)</f>
        <v>17</v>
      </c>
      <c r="C4" s="8">
        <f>COUNTIF('Parking Reservation'!I:I,C2)</f>
        <v>14</v>
      </c>
      <c r="D4" s="8">
        <f>COUNTIF('Parking Reservation'!I:I,D2)</f>
        <v>3</v>
      </c>
      <c r="E4" s="8">
        <f>COUNTIF('Parking Reservation'!I:I,E2)</f>
        <v>0</v>
      </c>
      <c r="F4" s="8">
        <f>COUNTIF('Parking Reservation'!I:I,F2)</f>
        <v>1</v>
      </c>
      <c r="G4" s="8">
        <f>COUNTIF('Parking Reservation'!I:I,G2)</f>
        <v>0</v>
      </c>
      <c r="H4" s="9">
        <f t="shared" si="0"/>
        <v>0</v>
      </c>
      <c r="I4" s="9">
        <f t="shared" si="1"/>
        <v>0.82352941176470584</v>
      </c>
      <c r="J4" s="9">
        <f t="shared" si="2"/>
        <v>0.17647058823529413</v>
      </c>
      <c r="K4" s="10">
        <f>IFERROR((C4+D4)/B4, 0)</f>
        <v>1</v>
      </c>
    </row>
    <row r="5" spans="1:11" ht="14.5">
      <c r="A5" s="8" t="s">
        <v>13</v>
      </c>
      <c r="B5" s="8">
        <f>SUM(C5:E5)</f>
        <v>21</v>
      </c>
      <c r="C5" s="8">
        <f>COUNTIF('Building Management'!I:I,C2)</f>
        <v>20</v>
      </c>
      <c r="D5" s="8">
        <f>COUNTIF('Building Management'!I:I,D2)</f>
        <v>1</v>
      </c>
      <c r="E5" s="8">
        <f>COUNTIF('Building Management'!I:I,E2)</f>
        <v>0</v>
      </c>
      <c r="F5" s="8">
        <f>COUNTIF('Building Management'!I:I,F2)</f>
        <v>0</v>
      </c>
      <c r="G5" s="8">
        <f>COUNTIF('Building Management'!I:I,G2)</f>
        <v>0</v>
      </c>
      <c r="H5" s="9">
        <f t="shared" si="0"/>
        <v>0</v>
      </c>
      <c r="I5" s="9">
        <f t="shared" si="1"/>
        <v>0.95238095238095233</v>
      </c>
      <c r="J5" s="9">
        <f t="shared" si="2"/>
        <v>4.7619047619047616E-2</v>
      </c>
      <c r="K5" s="10">
        <f>IFERROR((C5+D5)/(B5), 0)</f>
        <v>1</v>
      </c>
    </row>
    <row r="6" spans="1:11" ht="14.5">
      <c r="A6" s="8" t="s">
        <v>14</v>
      </c>
      <c r="B6" s="8">
        <f t="shared" ref="B6:B7" si="3">SUM(C6:E6)</f>
        <v>17</v>
      </c>
      <c r="C6" s="8">
        <f>COUNTIF('Parking Config'!I:I,C2)</f>
        <v>15</v>
      </c>
      <c r="D6" s="8">
        <f>COUNTIF('Parking Config'!I:I,D2)</f>
        <v>2</v>
      </c>
      <c r="E6" s="8">
        <f>COUNTIF('Parking Config'!I:I,E2)</f>
        <v>0</v>
      </c>
      <c r="F6" s="8">
        <f>COUNTIF('Parking Config'!I:I,F2)</f>
        <v>1</v>
      </c>
      <c r="G6" s="8">
        <f>COUNTIF('Parking Config'!I:I,G2)</f>
        <v>0</v>
      </c>
      <c r="H6" s="9">
        <f t="shared" si="0"/>
        <v>0</v>
      </c>
      <c r="I6" s="9">
        <f t="shared" ref="I6:I8" si="4">IFERROR(C6/(B6),0)</f>
        <v>0.88235294117647056</v>
      </c>
      <c r="J6" s="9">
        <f t="shared" ref="J6:J8" si="5">IFERROR(D6/(B6),0)</f>
        <v>0.11764705882352941</v>
      </c>
      <c r="K6" s="10">
        <f t="shared" ref="K6:K9" si="6">IFERROR((C6+D6)/B6, 0)</f>
        <v>1</v>
      </c>
    </row>
    <row r="7" spans="1:11" ht="14.5">
      <c r="A7" s="8" t="s">
        <v>15</v>
      </c>
      <c r="B7" s="8">
        <f t="shared" si="3"/>
        <v>17</v>
      </c>
      <c r="C7" s="8">
        <f>COUNTIF('Parking Attendant'!I:I,C2)</f>
        <v>11</v>
      </c>
      <c r="D7" s="8">
        <f>COUNTIF('Parking Attendant'!I:I,D2)</f>
        <v>1</v>
      </c>
      <c r="E7" s="8">
        <f>COUNTIF('Parking Attendant'!I:I,E2)</f>
        <v>5</v>
      </c>
      <c r="F7" s="8">
        <f>COUNTIF('Parking Attendant'!I:I,F2)</f>
        <v>0</v>
      </c>
      <c r="G7" s="8">
        <f>COUNTIF('Parking Attendant'!I:I,G2)</f>
        <v>0</v>
      </c>
      <c r="H7" s="9">
        <f t="shared" ref="H7" si="7">IFERROR(E7/(B7),0)</f>
        <v>0.29411764705882354</v>
      </c>
      <c r="I7" s="9">
        <f t="shared" si="4"/>
        <v>0.6470588235294118</v>
      </c>
      <c r="J7" s="9">
        <f t="shared" si="5"/>
        <v>5.8823529411764705E-2</v>
      </c>
      <c r="K7" s="10">
        <f t="shared" si="6"/>
        <v>0.70588235294117652</v>
      </c>
    </row>
    <row r="8" spans="1:11" ht="14.5">
      <c r="A8" s="8" t="s">
        <v>16</v>
      </c>
      <c r="B8" s="8">
        <f>SUM(C8:E8)</f>
        <v>11</v>
      </c>
      <c r="C8" s="8">
        <f>COUNTIF('Attendant Management'!I:I,Summary!C2)</f>
        <v>9</v>
      </c>
      <c r="D8" s="8">
        <f>COUNTIF('Attendant Management'!I:I,Summary!D2)</f>
        <v>2</v>
      </c>
      <c r="E8" s="8">
        <f>COUNTIF('Attendant Management'!I:I,Summary!E2)</f>
        <v>0</v>
      </c>
      <c r="F8" s="8">
        <f>COUNTIF('Attendant Management'!I:I,Summary!F2)</f>
        <v>0</v>
      </c>
      <c r="G8" s="8">
        <f>COUNTIF('Attendant Management'!I:I,Summary!G2)</f>
        <v>0</v>
      </c>
      <c r="H8" s="9">
        <f t="shared" ref="H8:H10" si="8">IFERROR(E8/(B8),0)</f>
        <v>0</v>
      </c>
      <c r="I8" s="9">
        <f t="shared" si="4"/>
        <v>0.81818181818181823</v>
      </c>
      <c r="J8" s="9">
        <f t="shared" si="5"/>
        <v>0.18181818181818182</v>
      </c>
      <c r="K8" s="10">
        <f t="shared" si="6"/>
        <v>1</v>
      </c>
    </row>
    <row r="9" spans="1:11" ht="14.5">
      <c r="A9" s="8" t="s">
        <v>17</v>
      </c>
      <c r="B9" s="8">
        <f>SUM(C9:E9)</f>
        <v>15</v>
      </c>
      <c r="C9" s="8">
        <f>COUNTIF('Zone Management'!I:I,Summary!C2)</f>
        <v>14</v>
      </c>
      <c r="D9" s="8">
        <f>COUNTIF('Zone Management'!I:I,Summary!D2)</f>
        <v>1</v>
      </c>
      <c r="E9" s="8">
        <f>COUNTIF('Zone Management'!I:I,Summary!E2)</f>
        <v>0</v>
      </c>
      <c r="F9" s="8">
        <f>COUNTIF('Zone Management'!I:I,Summary!F2)</f>
        <v>0</v>
      </c>
      <c r="G9" s="8">
        <f>COUNTIF('Zone Management'!I:I,Summary!G2)</f>
        <v>0</v>
      </c>
      <c r="H9" s="9">
        <f t="shared" si="8"/>
        <v>0</v>
      </c>
      <c r="I9" s="9">
        <f>IFERROR(C9/(B9),0)</f>
        <v>0.93333333333333335</v>
      </c>
      <c r="J9" s="9">
        <f>IFERROR(D9/(B9),0)</f>
        <v>6.6666666666666666E-2</v>
      </c>
      <c r="K9" s="10">
        <f t="shared" si="6"/>
        <v>1</v>
      </c>
    </row>
    <row r="10" spans="1:11" ht="14.5">
      <c r="A10" s="8" t="s">
        <v>18</v>
      </c>
      <c r="B10" s="8">
        <f t="shared" ref="B10" si="9">SUM(C10:E10)</f>
        <v>17</v>
      </c>
      <c r="C10" s="8">
        <f>COUNTIF('Building Policies'!I:I,Summary!C2)</f>
        <v>15</v>
      </c>
      <c r="D10" s="8">
        <f>COUNTIF('Building Policies'!I:I,Summary!D2)</f>
        <v>2</v>
      </c>
      <c r="E10" s="8">
        <f>COUNTIF('Building Policies'!I:I,Summary!E2)</f>
        <v>0</v>
      </c>
      <c r="F10" s="8">
        <f>COUNTIF('Building Policies'!I:I,Summary!F2)</f>
        <v>0</v>
      </c>
      <c r="G10" s="8">
        <f>COUNTIF('Building Policies'!I:I,Summary!G2)</f>
        <v>0</v>
      </c>
      <c r="H10" s="9">
        <f t="shared" si="8"/>
        <v>0</v>
      </c>
      <c r="I10" s="9">
        <f t="shared" ref="I10" si="10">IFERROR(C10/(B10),0)</f>
        <v>0.88235294117647056</v>
      </c>
      <c r="J10" s="9">
        <f t="shared" ref="J10" si="11">IFERROR(D10/(B10),0)</f>
        <v>0.11764705882352941</v>
      </c>
      <c r="K10" s="10">
        <f t="shared" ref="K10" si="12">IFERROR((C10+D10)/B10, 0)</f>
        <v>1</v>
      </c>
    </row>
    <row r="11" spans="1:11" ht="14.5">
      <c r="A11" s="11" t="s">
        <v>19</v>
      </c>
      <c r="B11" s="8">
        <f>C11+D11+E11+F11</f>
        <v>129</v>
      </c>
      <c r="C11" s="8">
        <f>SUM(C3:C10)</f>
        <v>108</v>
      </c>
      <c r="D11" s="8">
        <f>SUM(D3:D10)</f>
        <v>14</v>
      </c>
      <c r="E11" s="8">
        <f>SUM(E3:E10)</f>
        <v>5</v>
      </c>
      <c r="F11" s="8">
        <f>SUM(F3:F10)</f>
        <v>2</v>
      </c>
      <c r="G11" s="8">
        <f>SUM(G3:G9)</f>
        <v>0</v>
      </c>
      <c r="H11" s="9">
        <f>AVERAGE(H3:H10)</f>
        <v>3.6764705882352942E-2</v>
      </c>
      <c r="I11" s="9">
        <f>AVERAGE(I3:I10)</f>
        <v>0.84656544435956205</v>
      </c>
      <c r="J11" s="9">
        <f>AVERAGE(J3:J10)</f>
        <v>0.11666984975808506</v>
      </c>
      <c r="K11" s="10">
        <f>IFERROR((C11+D11+F11)/B11, 0)</f>
        <v>0.96124031007751942</v>
      </c>
    </row>
    <row r="12" spans="1:11" ht="14.5">
      <c r="A12" s="99" t="s">
        <v>20</v>
      </c>
      <c r="B12" s="30"/>
      <c r="C12" s="102" t="s">
        <v>21</v>
      </c>
      <c r="D12" s="103"/>
      <c r="E12" s="103"/>
      <c r="F12" s="103"/>
      <c r="G12" s="103"/>
      <c r="H12" s="103"/>
      <c r="I12" s="103"/>
      <c r="J12" s="103"/>
      <c r="K12" s="104"/>
    </row>
    <row r="13" spans="1:11" ht="14.5">
      <c r="A13" s="100"/>
      <c r="B13" s="31"/>
      <c r="C13" s="102" t="s">
        <v>22</v>
      </c>
      <c r="D13" s="103"/>
      <c r="E13" s="103"/>
      <c r="F13" s="103"/>
      <c r="G13" s="103"/>
      <c r="H13" s="103"/>
      <c r="I13" s="103"/>
      <c r="J13" s="103"/>
      <c r="K13" s="104"/>
    </row>
    <row r="14" spans="1:11" ht="14.5">
      <c r="A14" s="101"/>
      <c r="B14" s="12"/>
      <c r="C14" s="102" t="s">
        <v>23</v>
      </c>
      <c r="D14" s="103"/>
      <c r="E14" s="103"/>
      <c r="F14" s="103"/>
      <c r="G14" s="103"/>
      <c r="H14" s="103"/>
      <c r="I14" s="103"/>
      <c r="J14" s="103"/>
      <c r="K14" s="104"/>
    </row>
    <row r="15" spans="1:11" ht="14.5" hidden="1"/>
    <row r="16" spans="1:11" ht="14.5" hidden="1"/>
    <row r="17" ht="14.5" hidden="1"/>
    <row r="18" ht="15" customHeight="1"/>
    <row r="19" ht="15" customHeight="1"/>
    <row r="20" ht="15" customHeight="1"/>
    <row r="21" ht="15" customHeight="1"/>
    <row r="22" ht="15" customHeight="1"/>
    <row r="23" ht="15" customHeight="1"/>
    <row r="24" ht="15" customHeight="1"/>
    <row r="25" ht="15" customHeight="1"/>
  </sheetData>
  <mergeCells count="4">
    <mergeCell ref="A12:A14"/>
    <mergeCell ref="C12:K12"/>
    <mergeCell ref="C13:K13"/>
    <mergeCell ref="C14:K14"/>
  </mergeCells>
  <conditionalFormatting sqref="K3:K11">
    <cfRule type="dataBar" priority="11">
      <dataBar>
        <cfvo type="min" val="0"/>
        <cfvo type="max" val="0"/>
        <color rgb="FF63C384"/>
      </dataBar>
      <extLst>
        <ext xmlns:x14="http://schemas.microsoft.com/office/spreadsheetml/2009/9/main" uri="{B025F937-C7B1-47D3-B67F-A62EFF666E3E}">
          <x14:id>{2E34B921-5042-4F1E-B91B-D96F27109CC6}</x14:id>
        </ext>
      </extLst>
    </cfRule>
  </conditionalFormatting>
  <conditionalFormatting sqref="K3:K11">
    <cfRule type="colorScale" priority="13">
      <colorScale>
        <cfvo type="min" val="0"/>
        <cfvo type="percentile" val="50"/>
        <cfvo type="max" val="0"/>
        <color rgb="FFF8696B"/>
        <color rgb="FFFFEB84"/>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E34B921-5042-4F1E-B91B-D96F27109CC6}">
            <x14:dataBar minLength="0" maxLength="100" gradient="0">
              <x14:cfvo type="autoMin"/>
              <x14:cfvo type="autoMax"/>
              <x14:negativeFillColor rgb="FFFF0000"/>
              <x14:axisColor rgb="FF000000"/>
            </x14:dataBar>
          </x14:cfRule>
          <xm:sqref>K3:K11</xm:sqref>
        </x14:conditionalFormatting>
      </x14:conditionalFormattings>
    </ext>
  </extLst>
</worksheet>
</file>

<file path=xl/worksheets/sheet2.xml><?xml version="1.0" encoding="utf-8"?>
<worksheet xmlns="http://schemas.openxmlformats.org/spreadsheetml/2006/main" xmlns:r="http://schemas.openxmlformats.org/officeDocument/2006/relationships">
  <sheetPr filterMode="1"/>
  <dimension ref="A1:M13"/>
  <sheetViews>
    <sheetView tabSelected="1" workbookViewId="0">
      <selection activeCell="A13" sqref="A13:XFD13"/>
    </sheetView>
  </sheetViews>
  <sheetFormatPr defaultColWidth="0" defaultRowHeight="14.5"/>
  <cols>
    <col min="1" max="1" width="34.453125" style="23" customWidth="1"/>
    <col min="2" max="2" width="20" style="23" bestFit="1" customWidth="1"/>
    <col min="3" max="3" width="53.7265625" customWidth="1"/>
    <col min="4" max="4" width="16.1796875" bestFit="1" customWidth="1"/>
    <col min="5" max="5" width="48.1796875" customWidth="1"/>
    <col min="6" max="6" width="34.26953125" customWidth="1"/>
    <col min="7" max="7" width="39.453125" bestFit="1" customWidth="1"/>
    <col min="8" max="8" width="42.453125" customWidth="1"/>
    <col min="9" max="9" width="14.81640625" customWidth="1"/>
    <col min="10" max="10" width="15.81640625" style="56" customWidth="1"/>
    <col min="11" max="11" width="14.26953125" style="23" customWidth="1"/>
    <col min="12" max="12" width="30.54296875" customWidth="1"/>
  </cols>
  <sheetData>
    <row r="1" spans="1:13" s="23" customFormat="1" ht="23">
      <c r="A1" s="25" t="s">
        <v>24</v>
      </c>
      <c r="B1" s="95" t="s">
        <v>0</v>
      </c>
      <c r="C1" s="25" t="s">
        <v>25</v>
      </c>
      <c r="D1" s="25" t="s">
        <v>26</v>
      </c>
      <c r="E1" s="25" t="s">
        <v>27</v>
      </c>
      <c r="F1" s="25" t="s">
        <v>28</v>
      </c>
      <c r="G1" s="25" t="s">
        <v>29</v>
      </c>
      <c r="H1" s="25" t="s">
        <v>30</v>
      </c>
      <c r="I1" s="25" t="s">
        <v>31</v>
      </c>
      <c r="J1" s="70" t="s">
        <v>32</v>
      </c>
      <c r="K1" s="25" t="s">
        <v>33</v>
      </c>
      <c r="L1" s="25" t="s">
        <v>34</v>
      </c>
      <c r="M1" s="24"/>
    </row>
    <row r="2" spans="1:13" ht="29" hidden="1">
      <c r="A2" s="26" t="s">
        <v>44</v>
      </c>
      <c r="B2" s="78" t="s">
        <v>11</v>
      </c>
      <c r="C2" s="29" t="s">
        <v>45</v>
      </c>
      <c r="D2" s="3"/>
      <c r="E2" s="3" t="s">
        <v>46</v>
      </c>
      <c r="F2" s="3"/>
      <c r="G2" s="3" t="s">
        <v>47</v>
      </c>
      <c r="H2" s="3" t="s">
        <v>35</v>
      </c>
      <c r="I2" s="14" t="s">
        <v>36</v>
      </c>
      <c r="J2" s="22">
        <v>46085</v>
      </c>
      <c r="K2" s="14" t="s">
        <v>37</v>
      </c>
      <c r="L2" s="16"/>
    </row>
    <row r="3" spans="1:13" ht="29" hidden="1">
      <c r="A3" s="26" t="s">
        <v>48</v>
      </c>
      <c r="B3" s="78" t="s">
        <v>11</v>
      </c>
      <c r="C3" s="29" t="s">
        <v>49</v>
      </c>
      <c r="D3" s="3"/>
      <c r="E3" s="3" t="s">
        <v>50</v>
      </c>
      <c r="F3" s="3"/>
      <c r="G3" s="3" t="s">
        <v>51</v>
      </c>
      <c r="H3" s="3" t="s">
        <v>35</v>
      </c>
      <c r="I3" s="14" t="s">
        <v>36</v>
      </c>
      <c r="J3" s="22">
        <v>46079</v>
      </c>
      <c r="K3" s="14" t="s">
        <v>38</v>
      </c>
      <c r="L3" s="16"/>
    </row>
    <row r="4" spans="1:13" ht="87" hidden="1">
      <c r="A4" s="26" t="s">
        <v>52</v>
      </c>
      <c r="B4" s="28" t="s">
        <v>11</v>
      </c>
      <c r="C4" s="96" t="s">
        <v>53</v>
      </c>
      <c r="D4" s="18"/>
      <c r="E4" s="18" t="s">
        <v>54</v>
      </c>
      <c r="F4" s="18" t="s">
        <v>55</v>
      </c>
      <c r="G4" s="18" t="s">
        <v>56</v>
      </c>
      <c r="H4" s="18" t="s">
        <v>35</v>
      </c>
      <c r="I4" s="17" t="s">
        <v>36</v>
      </c>
      <c r="J4" s="46">
        <v>46079</v>
      </c>
      <c r="K4" s="17" t="s">
        <v>38</v>
      </c>
      <c r="L4" s="19"/>
    </row>
    <row r="5" spans="1:13" ht="101.5" hidden="1">
      <c r="A5" s="26" t="s">
        <v>57</v>
      </c>
      <c r="B5" s="28" t="s">
        <v>11</v>
      </c>
      <c r="C5" s="29" t="s">
        <v>58</v>
      </c>
      <c r="D5" s="3"/>
      <c r="E5" s="3" t="s">
        <v>59</v>
      </c>
      <c r="F5" s="3" t="s">
        <v>60</v>
      </c>
      <c r="G5" s="32" t="s">
        <v>41</v>
      </c>
      <c r="H5" s="42" t="s">
        <v>35</v>
      </c>
      <c r="I5" s="36" t="s">
        <v>36</v>
      </c>
      <c r="J5" s="22">
        <v>46079</v>
      </c>
      <c r="K5" s="14" t="s">
        <v>38</v>
      </c>
      <c r="L5" s="16"/>
    </row>
    <row r="6" spans="1:13" ht="58" hidden="1">
      <c r="A6" s="26" t="s">
        <v>61</v>
      </c>
      <c r="B6" s="28" t="s">
        <v>11</v>
      </c>
      <c r="C6" s="29" t="s">
        <v>62</v>
      </c>
      <c r="D6" s="3"/>
      <c r="E6" s="3" t="s">
        <v>63</v>
      </c>
      <c r="F6" s="3" t="s">
        <v>64</v>
      </c>
      <c r="G6" s="3" t="s">
        <v>65</v>
      </c>
      <c r="H6" s="42" t="s">
        <v>35</v>
      </c>
      <c r="I6" s="36" t="s">
        <v>36</v>
      </c>
      <c r="J6" s="22">
        <v>46079</v>
      </c>
      <c r="K6" s="14" t="s">
        <v>38</v>
      </c>
      <c r="L6" s="16"/>
    </row>
    <row r="7" spans="1:13" ht="101.5">
      <c r="A7" s="26" t="s">
        <v>67</v>
      </c>
      <c r="B7" s="28" t="s">
        <v>11</v>
      </c>
      <c r="C7" s="29" t="s">
        <v>68</v>
      </c>
      <c r="D7" s="3"/>
      <c r="E7" s="3" t="s">
        <v>66</v>
      </c>
      <c r="F7" s="3"/>
      <c r="G7" s="3"/>
      <c r="H7" s="3"/>
      <c r="I7" s="17" t="s">
        <v>40</v>
      </c>
      <c r="J7" s="22">
        <v>46080</v>
      </c>
      <c r="K7" s="14" t="s">
        <v>37</v>
      </c>
      <c r="L7" s="48" t="s">
        <v>69</v>
      </c>
    </row>
    <row r="8" spans="1:13" ht="101.5">
      <c r="A8" s="26" t="s">
        <v>70</v>
      </c>
      <c r="B8" s="28" t="s">
        <v>11</v>
      </c>
      <c r="C8" s="29" t="s">
        <v>71</v>
      </c>
      <c r="D8" s="3"/>
      <c r="E8" s="3" t="s">
        <v>66</v>
      </c>
      <c r="F8" s="3"/>
      <c r="G8" s="3"/>
      <c r="H8" s="3"/>
      <c r="I8" s="17" t="s">
        <v>40</v>
      </c>
      <c r="J8" s="22">
        <v>46080</v>
      </c>
      <c r="K8" s="14" t="s">
        <v>37</v>
      </c>
      <c r="L8" s="48" t="s">
        <v>72</v>
      </c>
    </row>
    <row r="9" spans="1:13" ht="116" hidden="1">
      <c r="A9" s="26" t="s">
        <v>73</v>
      </c>
      <c r="B9" s="28" t="s">
        <v>11</v>
      </c>
      <c r="C9" s="29" t="s">
        <v>74</v>
      </c>
      <c r="D9" s="3"/>
      <c r="E9" s="3" t="s">
        <v>75</v>
      </c>
      <c r="F9" s="3"/>
      <c r="G9" s="3" t="s">
        <v>76</v>
      </c>
      <c r="H9" s="3" t="s">
        <v>35</v>
      </c>
      <c r="I9" s="17" t="s">
        <v>36</v>
      </c>
      <c r="J9" s="22">
        <v>46085</v>
      </c>
      <c r="K9" s="14" t="s">
        <v>38</v>
      </c>
      <c r="L9" s="38"/>
    </row>
    <row r="10" spans="1:13" ht="116" hidden="1">
      <c r="A10" s="26" t="s">
        <v>77</v>
      </c>
      <c r="B10" s="28" t="s">
        <v>11</v>
      </c>
      <c r="C10" s="29" t="s">
        <v>78</v>
      </c>
      <c r="D10" s="3"/>
      <c r="E10" s="3" t="s">
        <v>79</v>
      </c>
      <c r="F10" s="3"/>
      <c r="G10" s="3" t="s">
        <v>80</v>
      </c>
      <c r="H10" s="3" t="s">
        <v>35</v>
      </c>
      <c r="I10" s="17" t="s">
        <v>36</v>
      </c>
      <c r="J10" s="22">
        <v>46083</v>
      </c>
      <c r="K10" s="14" t="s">
        <v>37</v>
      </c>
      <c r="L10" s="38"/>
    </row>
    <row r="11" spans="1:13" ht="43.5" hidden="1">
      <c r="A11" s="26" t="s">
        <v>81</v>
      </c>
      <c r="B11" s="28" t="s">
        <v>11</v>
      </c>
      <c r="C11" s="29" t="s">
        <v>82</v>
      </c>
      <c r="D11" s="3"/>
      <c r="E11" s="3" t="s">
        <v>83</v>
      </c>
      <c r="F11" s="3"/>
      <c r="G11" s="3" t="s">
        <v>84</v>
      </c>
      <c r="H11" s="42" t="s">
        <v>35</v>
      </c>
      <c r="I11" s="36" t="s">
        <v>36</v>
      </c>
      <c r="J11" s="22">
        <v>46079</v>
      </c>
      <c r="K11" s="14" t="s">
        <v>38</v>
      </c>
      <c r="L11" s="48" t="s">
        <v>85</v>
      </c>
    </row>
    <row r="12" spans="1:13" ht="43.5" hidden="1">
      <c r="A12" s="26" t="s">
        <v>86</v>
      </c>
      <c r="B12" s="28" t="s">
        <v>11</v>
      </c>
      <c r="C12" s="29" t="s">
        <v>87</v>
      </c>
      <c r="D12" s="3"/>
      <c r="E12" s="3" t="s">
        <v>88</v>
      </c>
      <c r="F12" s="20"/>
      <c r="G12" s="20" t="s">
        <v>89</v>
      </c>
      <c r="H12" s="43" t="s">
        <v>35</v>
      </c>
      <c r="I12" s="44" t="s">
        <v>36</v>
      </c>
      <c r="J12" s="67">
        <v>46079</v>
      </c>
      <c r="K12" s="21" t="s">
        <v>38</v>
      </c>
      <c r="L12" s="39"/>
    </row>
    <row r="13" spans="1:13" ht="58" hidden="1">
      <c r="A13" s="26" t="s">
        <v>90</v>
      </c>
      <c r="B13" s="14" t="s">
        <v>11</v>
      </c>
      <c r="C13" s="29" t="s">
        <v>91</v>
      </c>
      <c r="D13" s="3"/>
      <c r="E13" s="42" t="s">
        <v>92</v>
      </c>
      <c r="F13" s="3"/>
      <c r="G13" s="3" t="s">
        <v>93</v>
      </c>
      <c r="H13" s="3" t="s">
        <v>35</v>
      </c>
      <c r="I13" s="14" t="s">
        <v>36</v>
      </c>
      <c r="J13" s="22">
        <v>46085</v>
      </c>
      <c r="K13" s="14" t="s">
        <v>38</v>
      </c>
      <c r="L13" s="38"/>
    </row>
  </sheetData>
  <autoFilter ref="A1:L13">
    <filterColumn colId="8">
      <filters>
        <filter val="Failed"/>
      </filters>
    </filterColumn>
  </autoFilter>
  <conditionalFormatting sqref="I2:I13">
    <cfRule type="containsText" dxfId="19" priority="15" operator="containsText" text="Passed">
      <formula>NOT(ISERROR(SEARCH("Passed",I2)))</formula>
    </cfRule>
  </conditionalFormatting>
  <conditionalFormatting sqref="I2:I13">
    <cfRule type="containsText" dxfId="18" priority="14" operator="containsText" text="Failed">
      <formula>NOT(ISERROR(SEARCH("Failed",I2)))</formula>
    </cfRule>
  </conditionalFormatting>
  <conditionalFormatting sqref="I2:I13">
    <cfRule type="containsText" dxfId="17" priority="13" operator="containsText" text="Not Applicable">
      <formula>NOT(ISERROR(SEARCH("Not Applicable",I2)))</formula>
    </cfRule>
  </conditionalFormatting>
  <conditionalFormatting sqref="I2:I13">
    <cfRule type="containsText" dxfId="16" priority="12" operator="containsText" text="Unexecuted">
      <formula>NOT(ISERROR(SEARCH("Unexecuted",I2)))</formula>
    </cfRule>
  </conditionalFormatting>
  <conditionalFormatting sqref="I2:I13">
    <cfRule type="containsText" dxfId="15" priority="11" operator="containsText" text="Blocked">
      <formula>NOT(ISERROR(SEARCH("Blocked",I2)))</formula>
    </cfRule>
  </conditionalFormatting>
  <dataValidations count="1">
    <dataValidation type="list" allowBlank="1" showInputMessage="1" showErrorMessage="1" sqref="I1:I1048576">
      <formula1>"Passed, Failed, Blocked, Unexecuted, Not Applicable"</formula1>
    </dataValidation>
  </dataValidations>
  <hyperlinks>
    <hyperlink ref="L11" r:id="rId1"/>
    <hyperlink ref="L8" r:id="rId2"/>
    <hyperlink ref="L7" r:id="rId3"/>
  </hyperlinks>
  <pageMargins left="0.7" right="0.7" top="0.75" bottom="0.75" header="0.3" footer="0.3"/>
</worksheet>
</file>

<file path=xl/worksheets/sheet3.xml><?xml version="1.0" encoding="utf-8"?>
<worksheet xmlns="http://schemas.openxmlformats.org/spreadsheetml/2006/main" xmlns:r="http://schemas.openxmlformats.org/officeDocument/2006/relationships">
  <sheetPr filterMode="1"/>
  <dimension ref="A1:M19"/>
  <sheetViews>
    <sheetView workbookViewId="0">
      <selection activeCell="C17" sqref="C17"/>
    </sheetView>
  </sheetViews>
  <sheetFormatPr defaultColWidth="0" defaultRowHeight="14.5"/>
  <cols>
    <col min="1" max="1" width="34.453125" style="23" customWidth="1"/>
    <col min="2" max="2" width="20" style="23" bestFit="1" customWidth="1"/>
    <col min="3" max="3" width="53.7265625" customWidth="1"/>
    <col min="4" max="4" width="16.1796875" bestFit="1" customWidth="1"/>
    <col min="5" max="5" width="48.1796875" customWidth="1"/>
    <col min="6" max="6" width="34.26953125" customWidth="1"/>
    <col min="7" max="7" width="39.453125" bestFit="1" customWidth="1"/>
    <col min="8" max="8" width="42.453125" customWidth="1"/>
    <col min="9" max="9" width="14.81640625" customWidth="1"/>
    <col min="10" max="10" width="15.81640625" style="69" customWidth="1"/>
    <col min="11" max="11" width="14.26953125" style="23" customWidth="1"/>
    <col min="12" max="12" width="33.26953125" style="52" bestFit="1" customWidth="1"/>
  </cols>
  <sheetData>
    <row r="1" spans="1:13" s="23" customFormat="1" ht="23">
      <c r="A1" s="25" t="s">
        <v>24</v>
      </c>
      <c r="B1" s="27" t="s">
        <v>0</v>
      </c>
      <c r="C1" s="1" t="s">
        <v>25</v>
      </c>
      <c r="D1" s="41" t="s">
        <v>26</v>
      </c>
      <c r="E1" s="25" t="s">
        <v>27</v>
      </c>
      <c r="F1" s="25" t="s">
        <v>28</v>
      </c>
      <c r="G1" s="25" t="s">
        <v>29</v>
      </c>
      <c r="H1" s="25" t="s">
        <v>30</v>
      </c>
      <c r="I1" s="25" t="s">
        <v>31</v>
      </c>
      <c r="J1" s="70" t="s">
        <v>32</v>
      </c>
      <c r="K1" s="25" t="s">
        <v>33</v>
      </c>
      <c r="L1" s="25" t="s">
        <v>34</v>
      </c>
      <c r="M1" s="24"/>
    </row>
    <row r="2" spans="1:13" ht="87" hidden="1">
      <c r="A2" s="26" t="s">
        <v>94</v>
      </c>
      <c r="B2" s="28"/>
      <c r="C2" s="29" t="s">
        <v>95</v>
      </c>
      <c r="D2" s="72"/>
      <c r="E2" s="3" t="s">
        <v>96</v>
      </c>
      <c r="F2" s="3" t="s">
        <v>97</v>
      </c>
      <c r="G2" s="3" t="s">
        <v>98</v>
      </c>
      <c r="H2" s="3" t="s">
        <v>35</v>
      </c>
      <c r="I2" s="14" t="s">
        <v>36</v>
      </c>
      <c r="J2" s="22">
        <v>46079</v>
      </c>
      <c r="K2" s="14" t="s">
        <v>38</v>
      </c>
      <c r="L2" s="16"/>
    </row>
    <row r="3" spans="1:13" ht="101.5" hidden="1">
      <c r="A3" s="26" t="s">
        <v>99</v>
      </c>
      <c r="B3" s="28"/>
      <c r="C3" s="29" t="s">
        <v>100</v>
      </c>
      <c r="D3" s="42"/>
      <c r="E3" s="3" t="s">
        <v>101</v>
      </c>
      <c r="F3" s="3"/>
      <c r="G3" s="3" t="s">
        <v>102</v>
      </c>
      <c r="H3" s="3" t="s">
        <v>35</v>
      </c>
      <c r="I3" s="14" t="s">
        <v>36</v>
      </c>
      <c r="J3" s="22">
        <v>46079</v>
      </c>
      <c r="K3" s="14" t="s">
        <v>38</v>
      </c>
      <c r="L3" s="16"/>
    </row>
    <row r="4" spans="1:13" ht="58" hidden="1">
      <c r="A4" s="26" t="s">
        <v>103</v>
      </c>
      <c r="B4" s="28"/>
      <c r="C4" s="29" t="s">
        <v>104</v>
      </c>
      <c r="D4" s="42"/>
      <c r="E4" s="3" t="s">
        <v>105</v>
      </c>
      <c r="F4" s="3" t="s">
        <v>106</v>
      </c>
      <c r="G4" s="3" t="s">
        <v>107</v>
      </c>
      <c r="H4" s="3" t="s">
        <v>35</v>
      </c>
      <c r="I4" s="14" t="s">
        <v>36</v>
      </c>
      <c r="J4" s="22">
        <v>46079</v>
      </c>
      <c r="K4" s="14" t="s">
        <v>38</v>
      </c>
      <c r="L4" s="16"/>
    </row>
    <row r="5" spans="1:13" ht="87" hidden="1">
      <c r="A5" s="26" t="s">
        <v>108</v>
      </c>
      <c r="B5" s="28"/>
      <c r="C5" s="29" t="s">
        <v>109</v>
      </c>
      <c r="D5" s="42"/>
      <c r="E5" s="3" t="s">
        <v>110</v>
      </c>
      <c r="F5" s="3"/>
      <c r="G5" s="71" t="s">
        <v>111</v>
      </c>
      <c r="H5" s="3" t="s">
        <v>35</v>
      </c>
      <c r="I5" s="14" t="s">
        <v>36</v>
      </c>
      <c r="J5" s="22">
        <v>46079</v>
      </c>
      <c r="K5" s="14" t="s">
        <v>38</v>
      </c>
      <c r="L5" s="16"/>
    </row>
    <row r="6" spans="1:13" ht="87" hidden="1">
      <c r="A6" s="26" t="s">
        <v>112</v>
      </c>
      <c r="B6" s="28"/>
      <c r="C6" s="29" t="s">
        <v>113</v>
      </c>
      <c r="D6" s="42"/>
      <c r="E6" s="3" t="s">
        <v>110</v>
      </c>
      <c r="F6" s="3" t="s">
        <v>114</v>
      </c>
      <c r="G6" s="3" t="s">
        <v>115</v>
      </c>
      <c r="H6" s="3" t="s">
        <v>35</v>
      </c>
      <c r="I6" s="14" t="s">
        <v>36</v>
      </c>
      <c r="J6" s="22">
        <v>46085</v>
      </c>
      <c r="K6" s="14" t="s">
        <v>38</v>
      </c>
      <c r="L6" s="16"/>
    </row>
    <row r="7" spans="1:13" ht="58" hidden="1">
      <c r="A7" s="26" t="s">
        <v>116</v>
      </c>
      <c r="B7" s="28"/>
      <c r="C7" s="29" t="s">
        <v>117</v>
      </c>
      <c r="D7" s="42"/>
      <c r="E7" s="3" t="s">
        <v>118</v>
      </c>
      <c r="F7" s="3"/>
      <c r="G7" s="3" t="s">
        <v>119</v>
      </c>
      <c r="H7" s="3" t="s">
        <v>35</v>
      </c>
      <c r="I7" s="14" t="s">
        <v>36</v>
      </c>
      <c r="J7" s="22">
        <v>46079</v>
      </c>
      <c r="K7" s="14" t="s">
        <v>38</v>
      </c>
      <c r="L7" s="16"/>
    </row>
    <row r="8" spans="1:13" ht="72.5" hidden="1">
      <c r="A8" s="26" t="s">
        <v>120</v>
      </c>
      <c r="B8" s="28"/>
      <c r="C8" s="29" t="s">
        <v>121</v>
      </c>
      <c r="D8" s="42"/>
      <c r="E8" s="3" t="s">
        <v>122</v>
      </c>
      <c r="F8" s="3" t="s">
        <v>123</v>
      </c>
      <c r="G8" s="3" t="s">
        <v>124</v>
      </c>
      <c r="H8" s="3" t="s">
        <v>35</v>
      </c>
      <c r="I8" s="14" t="s">
        <v>36</v>
      </c>
      <c r="J8" s="22">
        <v>46080</v>
      </c>
      <c r="K8" s="14" t="s">
        <v>38</v>
      </c>
      <c r="L8" s="16"/>
    </row>
    <row r="9" spans="1:13" ht="58" hidden="1">
      <c r="A9" s="26" t="s">
        <v>125</v>
      </c>
      <c r="B9" s="28"/>
      <c r="C9" s="29" t="s">
        <v>126</v>
      </c>
      <c r="D9" s="42"/>
      <c r="E9" s="3" t="s">
        <v>127</v>
      </c>
      <c r="F9" s="3"/>
      <c r="G9" s="3" t="s">
        <v>128</v>
      </c>
      <c r="H9" s="3" t="s">
        <v>35</v>
      </c>
      <c r="I9" s="14" t="s">
        <v>36</v>
      </c>
      <c r="J9" s="22">
        <v>46080</v>
      </c>
      <c r="K9" s="14" t="s">
        <v>38</v>
      </c>
      <c r="L9" s="16"/>
    </row>
    <row r="10" spans="1:13" ht="130.5" hidden="1">
      <c r="A10" s="26" t="s">
        <v>129</v>
      </c>
      <c r="B10" s="28"/>
      <c r="C10" s="29" t="s">
        <v>130</v>
      </c>
      <c r="D10" s="42"/>
      <c r="E10" s="3" t="s">
        <v>131</v>
      </c>
      <c r="F10" s="3"/>
      <c r="G10" s="3" t="s">
        <v>132</v>
      </c>
      <c r="H10" s="3" t="s">
        <v>35</v>
      </c>
      <c r="I10" s="14" t="s">
        <v>36</v>
      </c>
      <c r="J10" s="22">
        <v>46080</v>
      </c>
      <c r="K10" s="14" t="s">
        <v>38</v>
      </c>
      <c r="L10" s="16"/>
    </row>
    <row r="11" spans="1:13" ht="43.5" hidden="1">
      <c r="A11" s="26" t="s">
        <v>133</v>
      </c>
      <c r="B11" s="28"/>
      <c r="C11" s="29" t="s">
        <v>134</v>
      </c>
      <c r="D11" s="42"/>
      <c r="E11" s="3" t="s">
        <v>135</v>
      </c>
      <c r="F11" s="3"/>
      <c r="G11" s="3" t="s">
        <v>136</v>
      </c>
      <c r="H11" s="3" t="s">
        <v>35</v>
      </c>
      <c r="I11" s="14" t="s">
        <v>36</v>
      </c>
      <c r="J11" s="22">
        <v>46080</v>
      </c>
      <c r="K11" s="14" t="s">
        <v>38</v>
      </c>
      <c r="L11" s="16"/>
    </row>
    <row r="12" spans="1:13" ht="58" hidden="1">
      <c r="A12" s="26" t="s">
        <v>137</v>
      </c>
      <c r="B12" s="28"/>
      <c r="C12" s="29" t="s">
        <v>138</v>
      </c>
      <c r="D12" s="42"/>
      <c r="E12" s="3" t="s">
        <v>139</v>
      </c>
      <c r="F12" s="3"/>
      <c r="G12" s="3" t="s">
        <v>136</v>
      </c>
      <c r="H12" s="3" t="s">
        <v>35</v>
      </c>
      <c r="I12" s="14" t="s">
        <v>36</v>
      </c>
      <c r="J12" s="22">
        <v>46080</v>
      </c>
      <c r="K12" s="14" t="s">
        <v>38</v>
      </c>
      <c r="L12" s="16"/>
    </row>
    <row r="13" spans="1:13" ht="72.5" hidden="1">
      <c r="A13" s="26" t="s">
        <v>140</v>
      </c>
      <c r="B13" s="28"/>
      <c r="C13" s="29" t="s">
        <v>141</v>
      </c>
      <c r="D13" s="42"/>
      <c r="E13" s="3" t="s">
        <v>142</v>
      </c>
      <c r="F13" s="3"/>
      <c r="G13" s="3" t="s">
        <v>143</v>
      </c>
      <c r="H13" s="3" t="s">
        <v>35</v>
      </c>
      <c r="I13" s="14" t="s">
        <v>36</v>
      </c>
      <c r="J13" s="22">
        <v>46080</v>
      </c>
      <c r="K13" s="14" t="s">
        <v>38</v>
      </c>
      <c r="L13" s="16"/>
    </row>
    <row r="14" spans="1:13" ht="72.5">
      <c r="A14" s="26" t="s">
        <v>144</v>
      </c>
      <c r="B14" s="28"/>
      <c r="C14" s="29" t="s">
        <v>145</v>
      </c>
      <c r="D14" s="42"/>
      <c r="E14" s="3" t="s">
        <v>146</v>
      </c>
      <c r="F14" s="3"/>
      <c r="G14" s="3" t="s">
        <v>147</v>
      </c>
      <c r="H14" s="3" t="s">
        <v>148</v>
      </c>
      <c r="I14" s="14" t="s">
        <v>40</v>
      </c>
      <c r="J14" s="22">
        <v>46083</v>
      </c>
      <c r="K14" s="14" t="s">
        <v>38</v>
      </c>
      <c r="L14" s="63" t="s">
        <v>149</v>
      </c>
    </row>
    <row r="15" spans="1:13" ht="72.5" hidden="1">
      <c r="A15" s="49" t="s">
        <v>150</v>
      </c>
      <c r="B15" s="50"/>
      <c r="C15" s="40" t="s">
        <v>151</v>
      </c>
      <c r="D15" s="43"/>
      <c r="E15" s="3" t="s">
        <v>142</v>
      </c>
      <c r="F15" s="3"/>
      <c r="G15" s="3" t="s">
        <v>143</v>
      </c>
      <c r="H15" s="3" t="s">
        <v>35</v>
      </c>
      <c r="I15" s="14" t="s">
        <v>36</v>
      </c>
      <c r="J15" s="22">
        <v>46083</v>
      </c>
      <c r="K15" s="14" t="s">
        <v>38</v>
      </c>
      <c r="L15" s="16"/>
    </row>
    <row r="16" spans="1:13" ht="58">
      <c r="A16" s="49" t="s">
        <v>152</v>
      </c>
      <c r="B16" s="21"/>
      <c r="C16" s="40" t="s">
        <v>153</v>
      </c>
      <c r="D16" s="43"/>
      <c r="E16" s="20" t="s">
        <v>154</v>
      </c>
      <c r="F16" s="20"/>
      <c r="G16" s="20" t="s">
        <v>155</v>
      </c>
      <c r="H16" s="20" t="s">
        <v>156</v>
      </c>
      <c r="I16" s="21" t="s">
        <v>40</v>
      </c>
      <c r="J16" s="67">
        <v>46084</v>
      </c>
      <c r="K16" s="21" t="s">
        <v>38</v>
      </c>
      <c r="L16" s="73" t="s">
        <v>157</v>
      </c>
    </row>
    <row r="17" spans="1:12" ht="58" hidden="1">
      <c r="A17" s="26" t="s">
        <v>158</v>
      </c>
      <c r="B17" s="14"/>
      <c r="C17" s="29" t="s">
        <v>159</v>
      </c>
      <c r="D17" s="3"/>
      <c r="E17" s="3" t="s">
        <v>154</v>
      </c>
      <c r="F17" s="3"/>
      <c r="G17" s="3" t="s">
        <v>160</v>
      </c>
      <c r="H17" s="3"/>
      <c r="I17" s="14" t="s">
        <v>161</v>
      </c>
      <c r="J17" s="22">
        <v>46084</v>
      </c>
      <c r="K17" s="14" t="s">
        <v>38</v>
      </c>
      <c r="L17" s="16" t="s">
        <v>162</v>
      </c>
    </row>
    <row r="18" spans="1:12" s="52" customFormat="1" ht="29">
      <c r="A18" s="49" t="s">
        <v>163</v>
      </c>
      <c r="B18" s="21"/>
      <c r="C18" s="66" t="s">
        <v>164</v>
      </c>
      <c r="D18" s="66"/>
      <c r="E18" s="20" t="s">
        <v>165</v>
      </c>
      <c r="F18" s="66"/>
      <c r="G18" s="20" t="s">
        <v>166</v>
      </c>
      <c r="H18" s="20" t="s">
        <v>167</v>
      </c>
      <c r="I18" s="21" t="s">
        <v>40</v>
      </c>
      <c r="J18" s="67">
        <v>46085</v>
      </c>
      <c r="K18" s="14" t="s">
        <v>38</v>
      </c>
      <c r="L18" s="73" t="s">
        <v>43</v>
      </c>
    </row>
    <row r="19" spans="1:12" ht="101.5" hidden="1">
      <c r="A19" s="33" t="s">
        <v>168</v>
      </c>
      <c r="B19" s="97"/>
      <c r="C19" s="42" t="s">
        <v>169</v>
      </c>
      <c r="D19" s="4"/>
      <c r="E19" s="3" t="s">
        <v>170</v>
      </c>
      <c r="F19" s="4"/>
      <c r="G19" s="3" t="s">
        <v>171</v>
      </c>
      <c r="H19" s="3" t="s">
        <v>35</v>
      </c>
      <c r="I19" s="14" t="s">
        <v>36</v>
      </c>
      <c r="J19" s="22">
        <v>46085</v>
      </c>
      <c r="K19" s="98" t="s">
        <v>38</v>
      </c>
      <c r="L19" s="62"/>
    </row>
  </sheetData>
  <autoFilter ref="A1:L19">
    <filterColumn colId="8">
      <filters>
        <filter val="Failed"/>
      </filters>
    </filterColumn>
  </autoFilter>
  <conditionalFormatting sqref="I2:I19">
    <cfRule type="containsText" dxfId="89" priority="15" operator="containsText" text="Passed">
      <formula>NOT(ISERROR(SEARCH("Passed",I2)))</formula>
    </cfRule>
  </conditionalFormatting>
  <conditionalFormatting sqref="I2:I19">
    <cfRule type="containsText" dxfId="88" priority="14" operator="containsText" text="Failed">
      <formula>NOT(ISERROR(SEARCH("Failed",I2)))</formula>
    </cfRule>
  </conditionalFormatting>
  <conditionalFormatting sqref="I2:I19">
    <cfRule type="containsText" dxfId="87" priority="13" operator="containsText" text="Not Applicable">
      <formula>NOT(ISERROR(SEARCH("Not Applicable",I2)))</formula>
    </cfRule>
  </conditionalFormatting>
  <conditionalFormatting sqref="I2:I19">
    <cfRule type="containsText" dxfId="86" priority="12" operator="containsText" text="Unexecuted">
      <formula>NOT(ISERROR(SEARCH("Unexecuted",I2)))</formula>
    </cfRule>
  </conditionalFormatting>
  <conditionalFormatting sqref="I2:I19">
    <cfRule type="containsText" dxfId="85" priority="11" operator="containsText" text="Blocked">
      <formula>NOT(ISERROR(SEARCH("Blocked",I2)))</formula>
    </cfRule>
  </conditionalFormatting>
  <dataValidations count="1">
    <dataValidation type="list" allowBlank="1" showInputMessage="1" showErrorMessage="1" sqref="I1:I1048576">
      <formula1>"Passed, Failed, Blocked, Unexecuted, Not Applicable"</formula1>
    </dataValidation>
  </dataValidations>
  <hyperlinks>
    <hyperlink ref="L14" r:id="rId1"/>
    <hyperlink ref="L16" r:id="rId2"/>
    <hyperlink ref="L18" r:id="rId3"/>
  </hyperlinks>
  <pageMargins left="0.7" right="0.7" top="0.75" bottom="0.75" header="0.3" footer="0.3"/>
</worksheet>
</file>

<file path=xl/worksheets/sheet4.xml><?xml version="1.0" encoding="utf-8"?>
<worksheet xmlns="http://schemas.openxmlformats.org/spreadsheetml/2006/main" xmlns:r="http://schemas.openxmlformats.org/officeDocument/2006/relationships">
  <sheetPr filterMode="1"/>
  <dimension ref="A1:M22"/>
  <sheetViews>
    <sheetView workbookViewId="0">
      <selection activeCell="L17" sqref="L17"/>
    </sheetView>
  </sheetViews>
  <sheetFormatPr defaultColWidth="0" defaultRowHeight="14.5"/>
  <cols>
    <col min="1" max="1" width="37.54296875" style="23" bestFit="1" customWidth="1"/>
    <col min="2" max="2" width="20" style="23" bestFit="1" customWidth="1"/>
    <col min="3" max="3" width="53.7265625" style="2" customWidth="1"/>
    <col min="4" max="4" width="33.1796875" customWidth="1"/>
    <col min="5" max="5" width="48.1796875" style="52" customWidth="1"/>
    <col min="6" max="6" width="34.26953125" style="52" customWidth="1"/>
    <col min="7" max="7" width="39.453125" style="52" bestFit="1" customWidth="1"/>
    <col min="8" max="8" width="42.453125" customWidth="1"/>
    <col min="9" max="9" width="14.81640625" customWidth="1"/>
    <col min="10" max="10" width="15.81640625" style="56" customWidth="1"/>
    <col min="11" max="11" width="14.26953125" style="23" customWidth="1"/>
    <col min="12" max="12" width="30.54296875" style="13" customWidth="1"/>
  </cols>
  <sheetData>
    <row r="1" spans="1:13" s="23" customFormat="1" ht="23">
      <c r="A1" s="25" t="s">
        <v>24</v>
      </c>
      <c r="B1" s="27" t="s">
        <v>0</v>
      </c>
      <c r="C1" s="1" t="s">
        <v>25</v>
      </c>
      <c r="D1" s="1" t="s">
        <v>26</v>
      </c>
      <c r="E1" s="1" t="s">
        <v>27</v>
      </c>
      <c r="F1" s="1" t="s">
        <v>28</v>
      </c>
      <c r="G1" s="1" t="s">
        <v>29</v>
      </c>
      <c r="H1" s="1" t="s">
        <v>30</v>
      </c>
      <c r="I1" s="1" t="s">
        <v>31</v>
      </c>
      <c r="J1" s="55" t="s">
        <v>32</v>
      </c>
      <c r="K1" s="1" t="s">
        <v>33</v>
      </c>
      <c r="L1" s="1" t="s">
        <v>34</v>
      </c>
      <c r="M1" s="24"/>
    </row>
    <row r="2" spans="1:13" ht="87" hidden="1">
      <c r="A2" s="26" t="s">
        <v>172</v>
      </c>
      <c r="B2" s="28" t="s">
        <v>173</v>
      </c>
      <c r="C2" s="29" t="s">
        <v>174</v>
      </c>
      <c r="D2" s="18"/>
      <c r="E2" s="18" t="s">
        <v>175</v>
      </c>
      <c r="F2" s="18" t="s">
        <v>176</v>
      </c>
      <c r="G2" s="53" t="s">
        <v>177</v>
      </c>
      <c r="H2" s="18" t="s">
        <v>35</v>
      </c>
      <c r="I2" s="17" t="s">
        <v>36</v>
      </c>
      <c r="J2" s="46">
        <v>46079</v>
      </c>
      <c r="K2" s="14" t="s">
        <v>37</v>
      </c>
      <c r="L2" s="37"/>
    </row>
    <row r="3" spans="1:13" ht="87" hidden="1">
      <c r="A3" s="26" t="s">
        <v>178</v>
      </c>
      <c r="B3" s="28" t="s">
        <v>173</v>
      </c>
      <c r="C3" s="29" t="s">
        <v>179</v>
      </c>
      <c r="D3" s="3"/>
      <c r="E3" s="18" t="s">
        <v>175</v>
      </c>
      <c r="F3" s="18" t="s">
        <v>176</v>
      </c>
      <c r="G3" s="53" t="s">
        <v>180</v>
      </c>
      <c r="H3" s="3" t="s">
        <v>35</v>
      </c>
      <c r="I3" s="17" t="s">
        <v>36</v>
      </c>
      <c r="J3" s="22">
        <v>46079</v>
      </c>
      <c r="K3" s="14" t="s">
        <v>37</v>
      </c>
      <c r="L3" s="38"/>
    </row>
    <row r="4" spans="1:13" ht="145" hidden="1">
      <c r="A4" s="26" t="s">
        <v>181</v>
      </c>
      <c r="B4" s="28" t="s">
        <v>173</v>
      </c>
      <c r="C4" s="29" t="s">
        <v>182</v>
      </c>
      <c r="D4" s="3"/>
      <c r="E4" s="3" t="s">
        <v>183</v>
      </c>
      <c r="F4" s="18" t="s">
        <v>184</v>
      </c>
      <c r="G4" s="47" t="s">
        <v>185</v>
      </c>
      <c r="H4" s="3" t="s">
        <v>35</v>
      </c>
      <c r="I4" s="17" t="s">
        <v>36</v>
      </c>
      <c r="J4" s="22">
        <v>46084</v>
      </c>
      <c r="K4" s="14" t="s">
        <v>38</v>
      </c>
      <c r="L4" s="48"/>
    </row>
    <row r="5" spans="1:13" ht="43.5" hidden="1">
      <c r="A5" s="26" t="s">
        <v>186</v>
      </c>
      <c r="B5" s="28" t="s">
        <v>173</v>
      </c>
      <c r="C5" s="20" t="s">
        <v>187</v>
      </c>
      <c r="D5" s="20"/>
      <c r="E5" s="3" t="s">
        <v>188</v>
      </c>
      <c r="F5" s="3" t="s">
        <v>189</v>
      </c>
      <c r="G5" s="3" t="s">
        <v>39</v>
      </c>
      <c r="H5" s="65" t="s">
        <v>35</v>
      </c>
      <c r="I5" s="51" t="s">
        <v>36</v>
      </c>
      <c r="J5" s="67">
        <v>46084</v>
      </c>
      <c r="K5" s="14" t="s">
        <v>38</v>
      </c>
      <c r="L5" s="38"/>
    </row>
    <row r="6" spans="1:13" ht="43.5" hidden="1">
      <c r="A6" s="49" t="s">
        <v>190</v>
      </c>
      <c r="B6" s="15" t="s">
        <v>173</v>
      </c>
      <c r="C6" s="3" t="s">
        <v>191</v>
      </c>
      <c r="D6" s="3"/>
      <c r="E6" s="81" t="s">
        <v>192</v>
      </c>
      <c r="F6" s="20"/>
      <c r="G6" s="43" t="s">
        <v>39</v>
      </c>
      <c r="H6" s="20" t="s">
        <v>35</v>
      </c>
      <c r="I6" s="14" t="s">
        <v>36</v>
      </c>
      <c r="J6" s="22">
        <v>46084</v>
      </c>
      <c r="K6" s="84" t="s">
        <v>38</v>
      </c>
      <c r="L6" s="39"/>
    </row>
    <row r="7" spans="1:13" ht="43.5" hidden="1">
      <c r="A7" s="26" t="s">
        <v>193</v>
      </c>
      <c r="B7" s="76" t="s">
        <v>173</v>
      </c>
      <c r="C7" s="20" t="s">
        <v>194</v>
      </c>
      <c r="D7" s="4"/>
      <c r="E7" s="3" t="s">
        <v>195</v>
      </c>
      <c r="F7" s="42"/>
      <c r="G7" s="3" t="s">
        <v>39</v>
      </c>
      <c r="H7" s="20" t="s">
        <v>35</v>
      </c>
      <c r="I7" s="84" t="s">
        <v>36</v>
      </c>
      <c r="J7" s="67">
        <v>46084</v>
      </c>
      <c r="K7" s="84" t="s">
        <v>38</v>
      </c>
      <c r="L7" s="38"/>
    </row>
    <row r="8" spans="1:13" ht="43.5" hidden="1">
      <c r="A8" s="26" t="s">
        <v>196</v>
      </c>
      <c r="B8" s="76" t="s">
        <v>173</v>
      </c>
      <c r="C8" s="3" t="s">
        <v>197</v>
      </c>
      <c r="D8" s="4"/>
      <c r="E8" s="81" t="s">
        <v>192</v>
      </c>
      <c r="F8" s="42"/>
      <c r="G8" s="42" t="s">
        <v>39</v>
      </c>
      <c r="H8" s="3" t="s">
        <v>35</v>
      </c>
      <c r="I8" s="14" t="s">
        <v>36</v>
      </c>
      <c r="J8" s="22">
        <v>46084</v>
      </c>
      <c r="K8" s="14" t="s">
        <v>38</v>
      </c>
      <c r="L8" s="58"/>
    </row>
    <row r="9" spans="1:13" ht="130.5" hidden="1">
      <c r="A9" s="49" t="s">
        <v>198</v>
      </c>
      <c r="B9" s="76" t="s">
        <v>173</v>
      </c>
      <c r="C9" s="40" t="s">
        <v>199</v>
      </c>
      <c r="D9" s="26" t="s">
        <v>181</v>
      </c>
      <c r="E9" s="82" t="s">
        <v>200</v>
      </c>
      <c r="F9" s="77"/>
      <c r="G9" s="85" t="s">
        <v>201</v>
      </c>
      <c r="H9" s="3" t="s">
        <v>35</v>
      </c>
      <c r="I9" s="14" t="s">
        <v>36</v>
      </c>
      <c r="J9" s="22">
        <v>46084</v>
      </c>
      <c r="K9" s="14" t="s">
        <v>38</v>
      </c>
      <c r="L9" s="58"/>
    </row>
    <row r="10" spans="1:13" ht="116" hidden="1">
      <c r="A10" s="26" t="s">
        <v>202</v>
      </c>
      <c r="B10" s="76" t="s">
        <v>173</v>
      </c>
      <c r="C10" s="3" t="s">
        <v>203</v>
      </c>
      <c r="D10" s="86" t="s">
        <v>181</v>
      </c>
      <c r="E10" s="82" t="s">
        <v>204</v>
      </c>
      <c r="F10" s="62"/>
      <c r="G10" s="72" t="s">
        <v>205</v>
      </c>
      <c r="H10" s="3" t="s">
        <v>35</v>
      </c>
      <c r="I10" s="14" t="s">
        <v>36</v>
      </c>
      <c r="J10" s="22">
        <v>46084</v>
      </c>
      <c r="K10" s="14" t="s">
        <v>38</v>
      </c>
      <c r="L10" s="83"/>
    </row>
    <row r="11" spans="1:13" ht="145" hidden="1">
      <c r="A11" s="26" t="s">
        <v>206</v>
      </c>
      <c r="B11" s="76" t="s">
        <v>173</v>
      </c>
      <c r="C11" s="3" t="s">
        <v>207</v>
      </c>
      <c r="D11" s="87" t="s">
        <v>181</v>
      </c>
      <c r="E11" s="3" t="s">
        <v>208</v>
      </c>
      <c r="F11" s="62"/>
      <c r="G11" s="3" t="s">
        <v>209</v>
      </c>
      <c r="H11" s="3" t="s">
        <v>35</v>
      </c>
      <c r="I11" s="14" t="s">
        <v>36</v>
      </c>
      <c r="J11" s="22">
        <v>46084</v>
      </c>
      <c r="K11" s="14" t="s">
        <v>38</v>
      </c>
      <c r="L11" s="80"/>
    </row>
    <row r="12" spans="1:13" ht="29" hidden="1">
      <c r="A12" s="49" t="s">
        <v>210</v>
      </c>
      <c r="B12" s="76" t="s">
        <v>173</v>
      </c>
      <c r="C12" s="3" t="s">
        <v>211</v>
      </c>
      <c r="D12" s="87" t="s">
        <v>181</v>
      </c>
      <c r="E12" s="3" t="s">
        <v>212</v>
      </c>
      <c r="F12" s="62"/>
      <c r="G12" s="3" t="s">
        <v>213</v>
      </c>
      <c r="H12" s="3" t="s">
        <v>35</v>
      </c>
      <c r="I12" s="14" t="s">
        <v>36</v>
      </c>
      <c r="J12" s="22">
        <v>46084</v>
      </c>
      <c r="K12" s="14" t="s">
        <v>38</v>
      </c>
      <c r="L12" s="80"/>
    </row>
    <row r="13" spans="1:13" ht="116" hidden="1">
      <c r="A13" s="49" t="s">
        <v>214</v>
      </c>
      <c r="B13" s="88" t="s">
        <v>173</v>
      </c>
      <c r="C13" s="20" t="s">
        <v>215</v>
      </c>
      <c r="D13" s="89" t="s">
        <v>181</v>
      </c>
      <c r="E13" s="20" t="s">
        <v>216</v>
      </c>
      <c r="F13" s="66"/>
      <c r="G13" s="90" t="s">
        <v>217</v>
      </c>
      <c r="H13" s="20" t="s">
        <v>35</v>
      </c>
      <c r="I13" s="21" t="s">
        <v>36</v>
      </c>
      <c r="J13" s="67">
        <v>46084</v>
      </c>
      <c r="K13" s="21" t="s">
        <v>38</v>
      </c>
      <c r="L13" s="91"/>
    </row>
    <row r="14" spans="1:13" ht="101.5" hidden="1">
      <c r="A14" s="26" t="s">
        <v>218</v>
      </c>
      <c r="B14" s="14" t="s">
        <v>173</v>
      </c>
      <c r="C14" s="3" t="s">
        <v>219</v>
      </c>
      <c r="D14" s="4"/>
      <c r="E14" s="3" t="s">
        <v>220</v>
      </c>
      <c r="F14" s="62"/>
      <c r="G14" s="3" t="s">
        <v>221</v>
      </c>
      <c r="H14" s="3" t="s">
        <v>35</v>
      </c>
      <c r="I14" s="14" t="s">
        <v>36</v>
      </c>
      <c r="J14" s="22">
        <v>46084</v>
      </c>
      <c r="K14" s="14" t="s">
        <v>38</v>
      </c>
      <c r="L14" s="80"/>
    </row>
    <row r="15" spans="1:13" ht="58" hidden="1">
      <c r="A15" s="49" t="s">
        <v>222</v>
      </c>
      <c r="B15" s="21" t="s">
        <v>173</v>
      </c>
      <c r="C15" s="20" t="s">
        <v>223</v>
      </c>
      <c r="D15" s="49" t="s">
        <v>181</v>
      </c>
      <c r="E15" s="20" t="s">
        <v>224</v>
      </c>
      <c r="F15" s="66" t="s">
        <v>225</v>
      </c>
      <c r="G15" s="66" t="s">
        <v>226</v>
      </c>
      <c r="H15" s="20" t="s">
        <v>35</v>
      </c>
      <c r="I15" s="21" t="s">
        <v>36</v>
      </c>
      <c r="J15" s="67">
        <v>46084</v>
      </c>
      <c r="K15" s="21" t="s">
        <v>38</v>
      </c>
      <c r="L15" s="91"/>
    </row>
    <row r="16" spans="1:13" s="52" customFormat="1" ht="58" hidden="1">
      <c r="A16" s="49" t="s">
        <v>227</v>
      </c>
      <c r="B16" s="21" t="s">
        <v>173</v>
      </c>
      <c r="C16" s="66" t="s">
        <v>228</v>
      </c>
      <c r="D16" s="49" t="s">
        <v>181</v>
      </c>
      <c r="E16" s="20" t="s">
        <v>229</v>
      </c>
      <c r="F16" s="66"/>
      <c r="G16" s="20" t="s">
        <v>230</v>
      </c>
      <c r="H16" s="20" t="s">
        <v>35</v>
      </c>
      <c r="I16" s="21" t="s">
        <v>36</v>
      </c>
      <c r="J16" s="67">
        <v>46084</v>
      </c>
      <c r="K16" s="21" t="s">
        <v>38</v>
      </c>
      <c r="L16" s="91"/>
    </row>
    <row r="17" spans="1:12" ht="43.5">
      <c r="A17" s="26" t="s">
        <v>231</v>
      </c>
      <c r="B17" s="14" t="s">
        <v>173</v>
      </c>
      <c r="C17" s="3" t="s">
        <v>232</v>
      </c>
      <c r="D17" s="26" t="s">
        <v>181</v>
      </c>
      <c r="E17" s="3" t="s">
        <v>233</v>
      </c>
      <c r="F17" s="62"/>
      <c r="G17" s="3" t="s">
        <v>234</v>
      </c>
      <c r="H17" s="3" t="s">
        <v>235</v>
      </c>
      <c r="I17" s="14" t="s">
        <v>40</v>
      </c>
      <c r="J17" s="22">
        <v>46084</v>
      </c>
      <c r="K17" s="14" t="s">
        <v>38</v>
      </c>
      <c r="L17" s="45" t="s">
        <v>236</v>
      </c>
    </row>
    <row r="18" spans="1:12" hidden="1">
      <c r="A18" s="26" t="s">
        <v>237</v>
      </c>
      <c r="B18" s="14" t="s">
        <v>173</v>
      </c>
      <c r="C18" s="3" t="s">
        <v>238</v>
      </c>
      <c r="D18" s="26" t="s">
        <v>227</v>
      </c>
      <c r="E18" s="62" t="s">
        <v>239</v>
      </c>
      <c r="F18" s="62"/>
      <c r="G18" s="62" t="s">
        <v>240</v>
      </c>
      <c r="H18" s="3" t="s">
        <v>35</v>
      </c>
      <c r="I18" s="14" t="s">
        <v>36</v>
      </c>
      <c r="J18" s="22">
        <v>46084</v>
      </c>
      <c r="K18" s="14" t="s">
        <v>38</v>
      </c>
      <c r="L18" s="80"/>
    </row>
    <row r="19" spans="1:12" ht="58" hidden="1">
      <c r="A19" s="49" t="s">
        <v>241</v>
      </c>
      <c r="B19" s="21" t="s">
        <v>173</v>
      </c>
      <c r="C19" s="20" t="s">
        <v>242</v>
      </c>
      <c r="D19" s="49" t="s">
        <v>227</v>
      </c>
      <c r="E19" s="66" t="s">
        <v>243</v>
      </c>
      <c r="F19" s="66"/>
      <c r="G19" s="20" t="s">
        <v>244</v>
      </c>
      <c r="H19" s="20" t="s">
        <v>35</v>
      </c>
      <c r="I19" s="21" t="s">
        <v>36</v>
      </c>
      <c r="J19" s="67">
        <v>46084</v>
      </c>
      <c r="K19" s="21" t="s">
        <v>38</v>
      </c>
      <c r="L19" s="91"/>
    </row>
    <row r="20" spans="1:12" ht="87" hidden="1">
      <c r="A20" s="26" t="s">
        <v>245</v>
      </c>
      <c r="B20" s="14" t="s">
        <v>173</v>
      </c>
      <c r="C20" s="3" t="s">
        <v>246</v>
      </c>
      <c r="D20" s="26" t="s">
        <v>181</v>
      </c>
      <c r="E20" s="3" t="s">
        <v>247</v>
      </c>
      <c r="F20" s="62"/>
      <c r="G20" s="92" t="s">
        <v>248</v>
      </c>
      <c r="H20" s="20" t="s">
        <v>35</v>
      </c>
      <c r="I20" s="21" t="s">
        <v>36</v>
      </c>
      <c r="J20" s="67">
        <v>46084</v>
      </c>
      <c r="K20" s="21" t="s">
        <v>38</v>
      </c>
      <c r="L20" s="80"/>
    </row>
    <row r="21" spans="1:12" ht="43.5" hidden="1">
      <c r="A21" s="26" t="s">
        <v>249</v>
      </c>
      <c r="B21" s="14" t="s">
        <v>173</v>
      </c>
      <c r="C21" s="3" t="s">
        <v>250</v>
      </c>
      <c r="D21" s="26" t="s">
        <v>181</v>
      </c>
      <c r="E21" s="3" t="s">
        <v>251</v>
      </c>
      <c r="F21" s="62"/>
      <c r="G21" s="3" t="s">
        <v>252</v>
      </c>
      <c r="H21" s="3" t="s">
        <v>35</v>
      </c>
      <c r="I21" s="14" t="s">
        <v>36</v>
      </c>
      <c r="J21" s="22">
        <v>46084</v>
      </c>
      <c r="K21" s="14" t="s">
        <v>38</v>
      </c>
      <c r="L21" s="80"/>
    </row>
    <row r="22" spans="1:12" ht="87" hidden="1">
      <c r="A22" s="26" t="s">
        <v>253</v>
      </c>
      <c r="B22" s="14" t="s">
        <v>173</v>
      </c>
      <c r="C22" s="3" t="s">
        <v>254</v>
      </c>
      <c r="D22" s="26"/>
      <c r="E22" s="18" t="s">
        <v>175</v>
      </c>
      <c r="F22" s="62"/>
      <c r="G22" s="3" t="s">
        <v>255</v>
      </c>
      <c r="H22" s="3" t="s">
        <v>35</v>
      </c>
      <c r="I22" s="14" t="s">
        <v>36</v>
      </c>
      <c r="J22" s="22">
        <v>46085</v>
      </c>
      <c r="K22" s="14" t="s">
        <v>38</v>
      </c>
      <c r="L22" s="80"/>
    </row>
  </sheetData>
  <autoFilter ref="A1:L22">
    <filterColumn colId="8">
      <filters>
        <filter val="Failed"/>
      </filters>
    </filterColumn>
  </autoFilter>
  <conditionalFormatting sqref="I2:I20">
    <cfRule type="containsText" dxfId="84" priority="15" operator="containsText" text="Passed">
      <formula>NOT(ISERROR(SEARCH("Passed",I2)))</formula>
    </cfRule>
  </conditionalFormatting>
  <conditionalFormatting sqref="I2:I20">
    <cfRule type="containsText" dxfId="83" priority="14" operator="containsText" text="Failed">
      <formula>NOT(ISERROR(SEARCH("Failed",I2)))</formula>
    </cfRule>
  </conditionalFormatting>
  <conditionalFormatting sqref="I2:I20">
    <cfRule type="containsText" dxfId="82" priority="13" operator="containsText" text="Not Applicable">
      <formula>NOT(ISERROR(SEARCH("Not Applicable",I2)))</formula>
    </cfRule>
  </conditionalFormatting>
  <conditionalFormatting sqref="I2:I20">
    <cfRule type="containsText" dxfId="81" priority="12" operator="containsText" text="Unexecuted">
      <formula>NOT(ISERROR(SEARCH("Unexecuted",I2)))</formula>
    </cfRule>
  </conditionalFormatting>
  <conditionalFormatting sqref="I2:I20">
    <cfRule type="containsText" dxfId="80" priority="11" operator="containsText" text="Blocked">
      <formula>NOT(ISERROR(SEARCH("Blocked",I2)))</formula>
    </cfRule>
  </conditionalFormatting>
  <conditionalFormatting sqref="I21:I22">
    <cfRule type="containsText" dxfId="79" priority="5" operator="containsText" text="Passed">
      <formula>NOT(ISERROR(SEARCH("Passed",I21)))</formula>
    </cfRule>
  </conditionalFormatting>
  <conditionalFormatting sqref="I21:I22">
    <cfRule type="containsText" dxfId="78" priority="4" operator="containsText" text="Failed">
      <formula>NOT(ISERROR(SEARCH("Failed",I21)))</formula>
    </cfRule>
  </conditionalFormatting>
  <conditionalFormatting sqref="I21:I22">
    <cfRule type="containsText" dxfId="77" priority="3" operator="containsText" text="Not Applicable">
      <formula>NOT(ISERROR(SEARCH("Not Applicable",I21)))</formula>
    </cfRule>
  </conditionalFormatting>
  <conditionalFormatting sqref="I21:I22">
    <cfRule type="containsText" dxfId="76" priority="2" operator="containsText" text="Unexecuted">
      <formula>NOT(ISERROR(SEARCH("Unexecuted",I21)))</formula>
    </cfRule>
  </conditionalFormatting>
  <conditionalFormatting sqref="I21:I22">
    <cfRule type="containsText" dxfId="75" priority="1" operator="containsText" text="Blocked">
      <formula>NOT(ISERROR(SEARCH("Blocked",I21)))</formula>
    </cfRule>
  </conditionalFormatting>
  <dataValidations count="1">
    <dataValidation type="list" allowBlank="1" showInputMessage="1" showErrorMessage="1" sqref="I1:I1048576">
      <formula1>"Passed, Failed, Blocked, Unexecuted, Not Applicable"</formula1>
    </dataValidation>
  </dataValidations>
  <hyperlinks>
    <hyperlink ref="L17"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sheetPr filterMode="1"/>
  <dimension ref="A1:M19"/>
  <sheetViews>
    <sheetView workbookViewId="0">
      <selection activeCell="G16" sqref="G16"/>
    </sheetView>
  </sheetViews>
  <sheetFormatPr defaultColWidth="0" defaultRowHeight="14.5"/>
  <cols>
    <col min="1" max="1" width="37.54296875" style="23" bestFit="1" customWidth="1"/>
    <col min="2" max="2" width="20" style="23" bestFit="1" customWidth="1"/>
    <col min="3" max="3" width="53.7265625" customWidth="1"/>
    <col min="4" max="4" width="16.1796875" bestFit="1" customWidth="1"/>
    <col min="5" max="5" width="48.1796875" customWidth="1"/>
    <col min="6" max="6" width="34.26953125" customWidth="1"/>
    <col min="7" max="7" width="39.453125" bestFit="1" customWidth="1"/>
    <col min="8" max="8" width="42.453125" customWidth="1"/>
    <col min="9" max="9" width="14.81640625" customWidth="1"/>
    <col min="10" max="10" width="15.81640625" style="56" customWidth="1"/>
    <col min="11" max="11" width="14.26953125" style="23" customWidth="1"/>
    <col min="12" max="12" width="30.54296875" customWidth="1"/>
  </cols>
  <sheetData>
    <row r="1" spans="1:13" s="23" customFormat="1" ht="23">
      <c r="A1" s="25" t="s">
        <v>24</v>
      </c>
      <c r="B1" s="27" t="s">
        <v>0</v>
      </c>
      <c r="C1" s="1" t="s">
        <v>25</v>
      </c>
      <c r="D1" s="1" t="s">
        <v>26</v>
      </c>
      <c r="E1" s="1" t="s">
        <v>27</v>
      </c>
      <c r="F1" s="1" t="s">
        <v>28</v>
      </c>
      <c r="G1" s="1" t="s">
        <v>29</v>
      </c>
      <c r="H1" s="1" t="s">
        <v>30</v>
      </c>
      <c r="I1" s="1" t="s">
        <v>31</v>
      </c>
      <c r="J1" s="55" t="s">
        <v>32</v>
      </c>
      <c r="K1" s="1" t="s">
        <v>33</v>
      </c>
      <c r="L1" s="1" t="s">
        <v>34</v>
      </c>
      <c r="M1" s="24"/>
    </row>
    <row r="2" spans="1:13" ht="145" hidden="1">
      <c r="A2" s="33" t="s">
        <v>256</v>
      </c>
      <c r="B2" s="34" t="s">
        <v>14</v>
      </c>
      <c r="C2" s="29" t="s">
        <v>257</v>
      </c>
      <c r="D2" s="3"/>
      <c r="E2" s="3" t="s">
        <v>258</v>
      </c>
      <c r="F2" s="18"/>
      <c r="G2" s="47" t="s">
        <v>259</v>
      </c>
      <c r="H2" s="3" t="s">
        <v>35</v>
      </c>
      <c r="I2" s="17" t="s">
        <v>36</v>
      </c>
      <c r="J2" s="22">
        <v>46084</v>
      </c>
      <c r="K2" s="14" t="s">
        <v>37</v>
      </c>
      <c r="L2" s="48"/>
    </row>
    <row r="3" spans="1:13" ht="43.5" hidden="1">
      <c r="A3" s="33" t="s">
        <v>260</v>
      </c>
      <c r="B3" s="34" t="s">
        <v>14</v>
      </c>
      <c r="C3" s="29" t="s">
        <v>261</v>
      </c>
      <c r="D3" s="3"/>
      <c r="E3" s="3" t="s">
        <v>262</v>
      </c>
      <c r="F3" s="18"/>
      <c r="G3" s="47" t="s">
        <v>263</v>
      </c>
      <c r="H3" s="3" t="s">
        <v>35</v>
      </c>
      <c r="I3" s="17" t="s">
        <v>36</v>
      </c>
      <c r="J3" s="22">
        <v>46084</v>
      </c>
      <c r="K3" s="14" t="s">
        <v>37</v>
      </c>
      <c r="L3" s="48"/>
    </row>
    <row r="4" spans="1:13" ht="72.5" hidden="1">
      <c r="A4" s="33" t="s">
        <v>264</v>
      </c>
      <c r="B4" s="34" t="s">
        <v>14</v>
      </c>
      <c r="C4" s="29" t="s">
        <v>265</v>
      </c>
      <c r="D4" s="3"/>
      <c r="E4" s="3" t="s">
        <v>266</v>
      </c>
      <c r="F4" s="18" t="s">
        <v>176</v>
      </c>
      <c r="G4" s="47" t="s">
        <v>267</v>
      </c>
      <c r="H4" s="3" t="s">
        <v>268</v>
      </c>
      <c r="I4" s="17" t="s">
        <v>36</v>
      </c>
      <c r="J4" s="22">
        <v>46080</v>
      </c>
      <c r="K4" s="14" t="s">
        <v>37</v>
      </c>
      <c r="L4" s="48" t="s">
        <v>269</v>
      </c>
    </row>
    <row r="5" spans="1:13" ht="116" hidden="1">
      <c r="A5" s="33" t="s">
        <v>270</v>
      </c>
      <c r="B5" s="34" t="s">
        <v>14</v>
      </c>
      <c r="C5" s="29" t="s">
        <v>271</v>
      </c>
      <c r="D5" s="3" t="s">
        <v>272</v>
      </c>
      <c r="E5" s="3" t="s">
        <v>273</v>
      </c>
      <c r="F5" s="3"/>
      <c r="G5" s="60" t="s">
        <v>274</v>
      </c>
      <c r="H5" s="3" t="s">
        <v>35</v>
      </c>
      <c r="I5" s="35" t="s">
        <v>36</v>
      </c>
      <c r="J5" s="54">
        <v>46084</v>
      </c>
      <c r="K5" s="36" t="s">
        <v>38</v>
      </c>
      <c r="L5" s="48"/>
    </row>
    <row r="6" spans="1:13" ht="116" hidden="1">
      <c r="A6" s="33" t="s">
        <v>275</v>
      </c>
      <c r="B6" s="34" t="s">
        <v>14</v>
      </c>
      <c r="C6" s="29" t="s">
        <v>271</v>
      </c>
      <c r="D6" s="3" t="s">
        <v>276</v>
      </c>
      <c r="E6" s="3" t="s">
        <v>273</v>
      </c>
      <c r="F6" s="3"/>
      <c r="G6" s="60" t="s">
        <v>277</v>
      </c>
      <c r="H6" s="3" t="s">
        <v>35</v>
      </c>
      <c r="I6" s="35" t="s">
        <v>36</v>
      </c>
      <c r="J6" s="54">
        <v>46084</v>
      </c>
      <c r="K6" s="36" t="s">
        <v>37</v>
      </c>
      <c r="L6" s="48"/>
    </row>
    <row r="7" spans="1:13" ht="58" hidden="1">
      <c r="A7" s="33" t="s">
        <v>278</v>
      </c>
      <c r="B7" s="34" t="s">
        <v>14</v>
      </c>
      <c r="C7" s="29" t="s">
        <v>279</v>
      </c>
      <c r="D7" s="3"/>
      <c r="E7" s="3" t="s">
        <v>280</v>
      </c>
      <c r="F7" s="3"/>
      <c r="G7" s="3" t="s">
        <v>281</v>
      </c>
      <c r="H7" s="42" t="s">
        <v>282</v>
      </c>
      <c r="I7" s="35" t="s">
        <v>36</v>
      </c>
      <c r="J7" s="54">
        <v>46085</v>
      </c>
      <c r="K7" s="36" t="s">
        <v>37</v>
      </c>
      <c r="L7" s="38"/>
    </row>
    <row r="8" spans="1:13" ht="101.5">
      <c r="A8" s="33" t="s">
        <v>283</v>
      </c>
      <c r="B8" s="34" t="s">
        <v>14</v>
      </c>
      <c r="C8" s="29" t="s">
        <v>284</v>
      </c>
      <c r="D8" s="3"/>
      <c r="E8" s="3" t="s">
        <v>285</v>
      </c>
      <c r="F8" s="3"/>
      <c r="G8" s="3"/>
      <c r="H8" s="42"/>
      <c r="I8" s="35" t="s">
        <v>161</v>
      </c>
      <c r="J8" s="54">
        <v>46085</v>
      </c>
      <c r="K8" s="36" t="s">
        <v>38</v>
      </c>
      <c r="L8" s="48" t="s">
        <v>286</v>
      </c>
    </row>
    <row r="9" spans="1:13" ht="58" hidden="1">
      <c r="A9" s="33" t="s">
        <v>287</v>
      </c>
      <c r="B9" s="34" t="s">
        <v>14</v>
      </c>
      <c r="C9" s="29" t="s">
        <v>288</v>
      </c>
      <c r="D9" s="3"/>
      <c r="E9" s="3" t="s">
        <v>289</v>
      </c>
      <c r="F9" s="3"/>
      <c r="G9" s="3" t="s">
        <v>290</v>
      </c>
      <c r="H9" s="42" t="s">
        <v>35</v>
      </c>
      <c r="I9" s="35" t="s">
        <v>36</v>
      </c>
      <c r="J9" s="54">
        <v>46085</v>
      </c>
      <c r="K9" s="36" t="s">
        <v>37</v>
      </c>
      <c r="L9" s="38"/>
    </row>
    <row r="10" spans="1:13" ht="87" hidden="1">
      <c r="A10" s="33" t="s">
        <v>291</v>
      </c>
      <c r="B10" s="34" t="s">
        <v>14</v>
      </c>
      <c r="C10" s="29" t="s">
        <v>292</v>
      </c>
      <c r="D10" s="3"/>
      <c r="E10" s="3" t="s">
        <v>293</v>
      </c>
      <c r="F10" s="3"/>
      <c r="G10" s="3" t="s">
        <v>294</v>
      </c>
      <c r="H10" s="42" t="s">
        <v>35</v>
      </c>
      <c r="I10" s="35" t="s">
        <v>36</v>
      </c>
      <c r="J10" s="54">
        <v>46085</v>
      </c>
      <c r="K10" s="36" t="s">
        <v>38</v>
      </c>
      <c r="L10" s="38"/>
    </row>
    <row r="11" spans="1:13" ht="43.5" hidden="1">
      <c r="A11" s="33" t="s">
        <v>295</v>
      </c>
      <c r="B11" s="34" t="s">
        <v>14</v>
      </c>
      <c r="C11" s="29" t="s">
        <v>296</v>
      </c>
      <c r="D11" s="3"/>
      <c r="E11" s="3" t="s">
        <v>297</v>
      </c>
      <c r="F11" s="3"/>
      <c r="G11" s="3" t="s">
        <v>298</v>
      </c>
      <c r="H11" s="42" t="s">
        <v>35</v>
      </c>
      <c r="I11" s="35" t="s">
        <v>36</v>
      </c>
      <c r="J11" s="54">
        <v>46085</v>
      </c>
      <c r="K11" s="36" t="s">
        <v>37</v>
      </c>
      <c r="L11" s="38"/>
    </row>
    <row r="12" spans="1:13" ht="130.5" hidden="1">
      <c r="A12" s="33" t="s">
        <v>299</v>
      </c>
      <c r="B12" s="34" t="s">
        <v>14</v>
      </c>
      <c r="C12" s="29" t="s">
        <v>300</v>
      </c>
      <c r="D12" s="3"/>
      <c r="E12" s="3" t="s">
        <v>301</v>
      </c>
      <c r="F12" s="3"/>
      <c r="G12" s="3" t="s">
        <v>302</v>
      </c>
      <c r="H12" s="42" t="s">
        <v>35</v>
      </c>
      <c r="I12" s="35" t="s">
        <v>36</v>
      </c>
      <c r="J12" s="54">
        <v>46085</v>
      </c>
      <c r="K12" s="36" t="s">
        <v>38</v>
      </c>
      <c r="L12" s="38"/>
    </row>
    <row r="13" spans="1:13" ht="43.5" hidden="1">
      <c r="A13" s="33" t="s">
        <v>303</v>
      </c>
      <c r="B13" s="34" t="s">
        <v>14</v>
      </c>
      <c r="C13" s="29" t="s">
        <v>304</v>
      </c>
      <c r="D13" s="3"/>
      <c r="E13" s="3" t="s">
        <v>305</v>
      </c>
      <c r="F13" s="3"/>
      <c r="G13" s="3"/>
      <c r="H13" s="42"/>
      <c r="I13" s="35" t="s">
        <v>36</v>
      </c>
      <c r="J13" s="54">
        <v>46085</v>
      </c>
      <c r="K13" s="36" t="s">
        <v>37</v>
      </c>
      <c r="L13" s="38"/>
    </row>
    <row r="14" spans="1:13" ht="43.5">
      <c r="A14" s="33" t="s">
        <v>306</v>
      </c>
      <c r="B14" s="34" t="s">
        <v>14</v>
      </c>
      <c r="C14" s="29" t="s">
        <v>307</v>
      </c>
      <c r="D14" s="3"/>
      <c r="E14" s="3" t="s">
        <v>308</v>
      </c>
      <c r="F14" s="3"/>
      <c r="G14" s="3" t="s">
        <v>309</v>
      </c>
      <c r="H14" s="42" t="s">
        <v>310</v>
      </c>
      <c r="I14" s="35" t="s">
        <v>40</v>
      </c>
      <c r="J14" s="54">
        <v>46085</v>
      </c>
      <c r="K14" s="36" t="s">
        <v>38</v>
      </c>
      <c r="L14" s="48" t="s">
        <v>286</v>
      </c>
    </row>
    <row r="15" spans="1:13" ht="43.5">
      <c r="A15" s="33" t="s">
        <v>311</v>
      </c>
      <c r="B15" s="34" t="s">
        <v>14</v>
      </c>
      <c r="C15" s="29" t="s">
        <v>312</v>
      </c>
      <c r="D15" s="3"/>
      <c r="E15" s="3" t="s">
        <v>313</v>
      </c>
      <c r="F15" s="3"/>
      <c r="G15" s="3" t="s">
        <v>309</v>
      </c>
      <c r="H15" s="42" t="s">
        <v>310</v>
      </c>
      <c r="I15" s="35" t="s">
        <v>40</v>
      </c>
      <c r="J15" s="54">
        <v>46085</v>
      </c>
      <c r="K15" s="36" t="s">
        <v>38</v>
      </c>
      <c r="L15" s="48" t="s">
        <v>286</v>
      </c>
    </row>
    <row r="16" spans="1:13" ht="43.5" hidden="1">
      <c r="A16" s="33" t="s">
        <v>314</v>
      </c>
      <c r="B16" s="34" t="s">
        <v>14</v>
      </c>
      <c r="C16" s="29" t="s">
        <v>315</v>
      </c>
      <c r="D16" s="3"/>
      <c r="E16" s="3" t="s">
        <v>316</v>
      </c>
      <c r="F16" s="3"/>
      <c r="G16" s="3"/>
      <c r="H16" s="42"/>
      <c r="I16" s="35" t="s">
        <v>36</v>
      </c>
      <c r="J16" s="54">
        <v>46085</v>
      </c>
      <c r="K16" s="36" t="s">
        <v>37</v>
      </c>
      <c r="L16" s="38"/>
    </row>
    <row r="17" spans="1:12" ht="29" hidden="1">
      <c r="A17" s="33" t="s">
        <v>317</v>
      </c>
      <c r="B17" s="34" t="s">
        <v>14</v>
      </c>
      <c r="C17" s="29" t="s">
        <v>318</v>
      </c>
      <c r="D17" s="3"/>
      <c r="E17" s="3" t="s">
        <v>319</v>
      </c>
      <c r="F17" s="3"/>
      <c r="G17" s="3" t="s">
        <v>320</v>
      </c>
      <c r="H17" s="42" t="s">
        <v>35</v>
      </c>
      <c r="I17" s="35" t="s">
        <v>36</v>
      </c>
      <c r="J17" s="54">
        <v>46085</v>
      </c>
      <c r="K17" s="36" t="s">
        <v>38</v>
      </c>
      <c r="L17" s="38"/>
    </row>
    <row r="18" spans="1:12" ht="58" hidden="1">
      <c r="A18" s="33" t="s">
        <v>321</v>
      </c>
      <c r="B18" s="34" t="s">
        <v>14</v>
      </c>
      <c r="C18" s="29" t="s">
        <v>322</v>
      </c>
      <c r="D18" s="3"/>
      <c r="E18" s="3" t="s">
        <v>323</v>
      </c>
      <c r="F18" s="3"/>
      <c r="G18" s="3" t="s">
        <v>324</v>
      </c>
      <c r="H18" s="42" t="s">
        <v>35</v>
      </c>
      <c r="I18" s="35" t="s">
        <v>36</v>
      </c>
      <c r="J18" s="54">
        <v>46085</v>
      </c>
      <c r="K18" s="36" t="s">
        <v>37</v>
      </c>
      <c r="L18" s="38"/>
    </row>
    <row r="19" spans="1:12" ht="58" hidden="1">
      <c r="A19" s="33" t="s">
        <v>325</v>
      </c>
      <c r="B19" s="34" t="s">
        <v>14</v>
      </c>
      <c r="C19" s="29" t="s">
        <v>326</v>
      </c>
      <c r="D19" s="3"/>
      <c r="E19" s="3" t="s">
        <v>327</v>
      </c>
      <c r="F19" s="3"/>
      <c r="G19" s="3" t="s">
        <v>328</v>
      </c>
      <c r="H19" s="42" t="s">
        <v>35</v>
      </c>
      <c r="I19" s="35" t="s">
        <v>36</v>
      </c>
      <c r="J19" s="54">
        <v>46085</v>
      </c>
      <c r="K19" s="36" t="s">
        <v>37</v>
      </c>
      <c r="L19" s="38"/>
    </row>
  </sheetData>
  <autoFilter ref="A1:L19">
    <filterColumn colId="8">
      <filters>
        <filter val="Blocked"/>
        <filter val="Failed"/>
      </filters>
    </filterColumn>
  </autoFilter>
  <conditionalFormatting sqref="I5:I19">
    <cfRule type="containsText" dxfId="74" priority="10" operator="containsText" text="Passed">
      <formula>NOT(ISERROR(SEARCH("Passed",I5)))</formula>
    </cfRule>
  </conditionalFormatting>
  <conditionalFormatting sqref="I5:I19">
    <cfRule type="containsText" dxfId="73" priority="9" operator="containsText" text="Failed">
      <formula>NOT(ISERROR(SEARCH("Failed",I5)))</formula>
    </cfRule>
  </conditionalFormatting>
  <conditionalFormatting sqref="I5:I19">
    <cfRule type="containsText" dxfId="72" priority="8" operator="containsText" text="Not Applicable">
      <formula>NOT(ISERROR(SEARCH("Not Applicable",I5)))</formula>
    </cfRule>
  </conditionalFormatting>
  <conditionalFormatting sqref="I5:I19">
    <cfRule type="containsText" dxfId="71" priority="7" operator="containsText" text="Unexecuted">
      <formula>NOT(ISERROR(SEARCH("Unexecuted",I5)))</formula>
    </cfRule>
  </conditionalFormatting>
  <conditionalFormatting sqref="I5:I19">
    <cfRule type="containsText" dxfId="70" priority="6" operator="containsText" text="Blocked">
      <formula>NOT(ISERROR(SEARCH("Blocked",I5)))</formula>
    </cfRule>
  </conditionalFormatting>
  <conditionalFormatting sqref="I2:I4">
    <cfRule type="containsText" dxfId="69" priority="5" operator="containsText" text="Passed">
      <formula>NOT(ISERROR(SEARCH("Passed",I2)))</formula>
    </cfRule>
  </conditionalFormatting>
  <conditionalFormatting sqref="I2:I4">
    <cfRule type="containsText" dxfId="68" priority="4" operator="containsText" text="Failed">
      <formula>NOT(ISERROR(SEARCH("Failed",I2)))</formula>
    </cfRule>
  </conditionalFormatting>
  <conditionalFormatting sqref="I2:I4">
    <cfRule type="containsText" dxfId="67" priority="3" operator="containsText" text="Not Applicable">
      <formula>NOT(ISERROR(SEARCH("Not Applicable",I2)))</formula>
    </cfRule>
  </conditionalFormatting>
  <conditionalFormatting sqref="I2:I4">
    <cfRule type="containsText" dxfId="66" priority="2" operator="containsText" text="Unexecuted">
      <formula>NOT(ISERROR(SEARCH("Unexecuted",I2)))</formula>
    </cfRule>
  </conditionalFormatting>
  <conditionalFormatting sqref="I2:I4">
    <cfRule type="containsText" dxfId="65" priority="1" operator="containsText" text="Blocked">
      <formula>NOT(ISERROR(SEARCH("Blocked",I2)))</formula>
    </cfRule>
  </conditionalFormatting>
  <dataValidations count="1">
    <dataValidation type="list" allowBlank="1" showInputMessage="1" showErrorMessage="1" sqref="I1:I1048576">
      <formula1>"Passed, Failed, Blocked, Unexecuted, Not Applicable"</formula1>
    </dataValidation>
  </dataValidations>
  <hyperlinks>
    <hyperlink ref="L4" r:id="rId1"/>
    <hyperlink ref="L15" r:id="rId2"/>
    <hyperlink ref="L14" r:id="rId3"/>
    <hyperlink ref="L8" r:id="rId4"/>
  </hyperlinks>
  <pageMargins left="0.7" right="0.7" top="0.75" bottom="0.75" header="0.3" footer="0.3"/>
</worksheet>
</file>

<file path=xl/worksheets/sheet6.xml><?xml version="1.0" encoding="utf-8"?>
<worksheet xmlns="http://schemas.openxmlformats.org/spreadsheetml/2006/main" xmlns:r="http://schemas.openxmlformats.org/officeDocument/2006/relationships">
  <sheetPr filterMode="1"/>
  <dimension ref="A1:M18"/>
  <sheetViews>
    <sheetView workbookViewId="0">
      <selection activeCell="I4" sqref="I4"/>
    </sheetView>
  </sheetViews>
  <sheetFormatPr defaultColWidth="0" defaultRowHeight="14.5"/>
  <cols>
    <col min="1" max="1" width="37.54296875" style="23" bestFit="1" customWidth="1"/>
    <col min="2" max="2" width="20" style="23" bestFit="1" customWidth="1"/>
    <col min="3" max="3" width="53.7265625" customWidth="1"/>
    <col min="4" max="4" width="16.1796875" bestFit="1" customWidth="1"/>
    <col min="5" max="5" width="48.1796875" customWidth="1"/>
    <col min="6" max="6" width="34.26953125" customWidth="1"/>
    <col min="7" max="7" width="39.453125" bestFit="1" customWidth="1"/>
    <col min="8" max="8" width="42.453125" customWidth="1"/>
    <col min="9" max="9" width="14.81640625" customWidth="1"/>
    <col min="10" max="10" width="15.81640625" style="56" customWidth="1"/>
    <col min="11" max="11" width="14.26953125" style="23" customWidth="1"/>
    <col min="12" max="12" width="30.54296875" style="52" customWidth="1"/>
  </cols>
  <sheetData>
    <row r="1" spans="1:13" s="23" customFormat="1" ht="23">
      <c r="A1" s="25" t="s">
        <v>24</v>
      </c>
      <c r="B1" s="27" t="s">
        <v>0</v>
      </c>
      <c r="C1" s="1" t="s">
        <v>25</v>
      </c>
      <c r="D1" s="1" t="s">
        <v>26</v>
      </c>
      <c r="E1" s="1" t="s">
        <v>27</v>
      </c>
      <c r="F1" s="1" t="s">
        <v>28</v>
      </c>
      <c r="G1" s="1" t="s">
        <v>29</v>
      </c>
      <c r="H1" s="1" t="s">
        <v>30</v>
      </c>
      <c r="I1" s="1" t="s">
        <v>31</v>
      </c>
      <c r="J1" s="55" t="s">
        <v>32</v>
      </c>
      <c r="K1" s="1" t="s">
        <v>33</v>
      </c>
      <c r="L1" s="1" t="s">
        <v>34</v>
      </c>
      <c r="M1" s="24"/>
    </row>
    <row r="2" spans="1:13" ht="43.5" hidden="1">
      <c r="A2" s="26" t="s">
        <v>329</v>
      </c>
      <c r="B2" s="34" t="s">
        <v>330</v>
      </c>
      <c r="C2" s="29" t="s">
        <v>331</v>
      </c>
      <c r="D2" s="18"/>
      <c r="E2" s="18" t="s">
        <v>332</v>
      </c>
      <c r="F2" s="18" t="s">
        <v>333</v>
      </c>
      <c r="G2" s="18" t="s">
        <v>334</v>
      </c>
      <c r="H2" s="18" t="s">
        <v>35</v>
      </c>
      <c r="I2" s="35" t="s">
        <v>36</v>
      </c>
      <c r="J2" s="57">
        <v>46079</v>
      </c>
      <c r="K2" s="36" t="s">
        <v>37</v>
      </c>
      <c r="L2" s="37"/>
    </row>
    <row r="3" spans="1:13" ht="72.5">
      <c r="A3" s="26" t="s">
        <v>335</v>
      </c>
      <c r="B3" s="34" t="s">
        <v>330</v>
      </c>
      <c r="C3" s="29" t="s">
        <v>336</v>
      </c>
      <c r="D3" s="3"/>
      <c r="E3" s="3" t="s">
        <v>337</v>
      </c>
      <c r="F3" s="18" t="s">
        <v>333</v>
      </c>
      <c r="G3" s="3" t="s">
        <v>338</v>
      </c>
      <c r="H3" s="3" t="s">
        <v>339</v>
      </c>
      <c r="I3" s="35" t="s">
        <v>40</v>
      </c>
      <c r="J3" s="57">
        <v>46079</v>
      </c>
      <c r="K3" s="36" t="s">
        <v>37</v>
      </c>
      <c r="L3" s="48" t="s">
        <v>340</v>
      </c>
    </row>
    <row r="4" spans="1:13" ht="43.5" hidden="1">
      <c r="A4" s="26" t="s">
        <v>335</v>
      </c>
      <c r="B4" s="34" t="s">
        <v>330</v>
      </c>
      <c r="C4" s="29" t="s">
        <v>341</v>
      </c>
      <c r="D4" s="3"/>
      <c r="E4" s="3" t="s">
        <v>342</v>
      </c>
      <c r="F4" s="3"/>
      <c r="G4" s="3" t="s">
        <v>343</v>
      </c>
      <c r="H4" s="3" t="s">
        <v>344</v>
      </c>
      <c r="I4" s="35" t="s">
        <v>561</v>
      </c>
      <c r="J4" s="54">
        <v>46080</v>
      </c>
      <c r="K4" s="36" t="s">
        <v>38</v>
      </c>
      <c r="L4" s="48" t="s">
        <v>345</v>
      </c>
    </row>
    <row r="5" spans="1:13" ht="43.5" hidden="1">
      <c r="A5" s="26" t="s">
        <v>346</v>
      </c>
      <c r="B5" s="34" t="s">
        <v>330</v>
      </c>
      <c r="C5" s="29" t="s">
        <v>347</v>
      </c>
      <c r="D5" s="3"/>
      <c r="E5" s="3" t="s">
        <v>348</v>
      </c>
      <c r="F5" s="3" t="s">
        <v>349</v>
      </c>
      <c r="G5" s="32" t="s">
        <v>350</v>
      </c>
      <c r="H5" s="18" t="s">
        <v>35</v>
      </c>
      <c r="I5" s="35" t="s">
        <v>36</v>
      </c>
      <c r="J5" s="54">
        <v>46080</v>
      </c>
      <c r="K5" s="36" t="s">
        <v>38</v>
      </c>
      <c r="L5" s="38"/>
    </row>
    <row r="6" spans="1:13" ht="58" hidden="1">
      <c r="A6" s="26" t="s">
        <v>351</v>
      </c>
      <c r="B6" s="34" t="s">
        <v>330</v>
      </c>
      <c r="C6" s="29" t="s">
        <v>352</v>
      </c>
      <c r="D6" s="3"/>
      <c r="E6" s="3" t="s">
        <v>353</v>
      </c>
      <c r="F6" s="3"/>
      <c r="G6" s="3" t="s">
        <v>354</v>
      </c>
      <c r="H6" s="18" t="s">
        <v>35</v>
      </c>
      <c r="I6" s="35" t="s">
        <v>36</v>
      </c>
      <c r="J6" s="54">
        <v>46080</v>
      </c>
      <c r="K6" s="36" t="s">
        <v>38</v>
      </c>
      <c r="L6" s="38"/>
    </row>
    <row r="7" spans="1:13" ht="29" hidden="1">
      <c r="A7" s="26" t="s">
        <v>355</v>
      </c>
      <c r="B7" s="34" t="s">
        <v>330</v>
      </c>
      <c r="C7" s="29" t="s">
        <v>356</v>
      </c>
      <c r="D7" s="3"/>
      <c r="E7" s="3" t="s">
        <v>342</v>
      </c>
      <c r="F7" s="3"/>
      <c r="G7" s="3" t="s">
        <v>357</v>
      </c>
      <c r="H7" s="3" t="s">
        <v>35</v>
      </c>
      <c r="I7" s="35" t="s">
        <v>36</v>
      </c>
      <c r="J7" s="54">
        <v>46083</v>
      </c>
      <c r="K7" s="61" t="s">
        <v>37</v>
      </c>
      <c r="L7" s="62" t="s">
        <v>358</v>
      </c>
    </row>
    <row r="8" spans="1:13" ht="29" hidden="1">
      <c r="A8" s="26" t="s">
        <v>359</v>
      </c>
      <c r="B8" s="34" t="s">
        <v>330</v>
      </c>
      <c r="C8" s="29" t="s">
        <v>360</v>
      </c>
      <c r="D8" s="3"/>
      <c r="E8" s="3" t="s">
        <v>342</v>
      </c>
      <c r="F8" s="3"/>
      <c r="G8" s="3" t="s">
        <v>361</v>
      </c>
      <c r="H8" s="3" t="s">
        <v>362</v>
      </c>
      <c r="I8" s="35" t="s">
        <v>36</v>
      </c>
      <c r="J8" s="54">
        <v>46083</v>
      </c>
      <c r="K8" s="61" t="s">
        <v>37</v>
      </c>
      <c r="L8" s="62" t="s">
        <v>358</v>
      </c>
    </row>
    <row r="9" spans="1:13" ht="58" hidden="1">
      <c r="A9" s="26" t="s">
        <v>363</v>
      </c>
      <c r="B9" s="34" t="s">
        <v>330</v>
      </c>
      <c r="C9" s="29" t="s">
        <v>364</v>
      </c>
      <c r="D9" s="3"/>
      <c r="E9" s="3" t="s">
        <v>365</v>
      </c>
      <c r="F9" s="3"/>
      <c r="G9" s="3" t="s">
        <v>366</v>
      </c>
      <c r="H9" s="3"/>
      <c r="I9" s="35" t="s">
        <v>561</v>
      </c>
      <c r="J9" s="54"/>
      <c r="K9" s="61"/>
      <c r="L9" s="62" t="s">
        <v>358</v>
      </c>
    </row>
    <row r="10" spans="1:13" ht="58" hidden="1">
      <c r="A10" s="26" t="s">
        <v>367</v>
      </c>
      <c r="B10" s="34" t="s">
        <v>330</v>
      </c>
      <c r="C10" s="29" t="s">
        <v>368</v>
      </c>
      <c r="D10" s="3"/>
      <c r="E10" s="3" t="s">
        <v>365</v>
      </c>
      <c r="F10" s="3"/>
      <c r="G10" s="3" t="s">
        <v>369</v>
      </c>
      <c r="H10" s="3" t="s">
        <v>362</v>
      </c>
      <c r="I10" s="35" t="s">
        <v>36</v>
      </c>
      <c r="J10" s="54">
        <v>46083</v>
      </c>
      <c r="K10" s="61" t="s">
        <v>37</v>
      </c>
      <c r="L10" s="62" t="s">
        <v>358</v>
      </c>
    </row>
    <row r="11" spans="1:13" ht="43.5" hidden="1">
      <c r="A11" s="26" t="s">
        <v>370</v>
      </c>
      <c r="B11" s="34" t="s">
        <v>330</v>
      </c>
      <c r="C11" s="3" t="s">
        <v>371</v>
      </c>
      <c r="D11" s="62"/>
      <c r="E11" s="3" t="s">
        <v>372</v>
      </c>
      <c r="F11" s="62"/>
      <c r="G11" s="3" t="s">
        <v>373</v>
      </c>
      <c r="H11" s="3" t="s">
        <v>35</v>
      </c>
      <c r="I11" s="36" t="s">
        <v>36</v>
      </c>
      <c r="J11" s="54">
        <v>46083</v>
      </c>
      <c r="K11" s="14" t="s">
        <v>38</v>
      </c>
      <c r="L11" s="62"/>
    </row>
    <row r="12" spans="1:13" ht="43.5" hidden="1">
      <c r="A12" s="26" t="s">
        <v>374</v>
      </c>
      <c r="B12" s="79" t="s">
        <v>330</v>
      </c>
      <c r="C12" s="20" t="s">
        <v>375</v>
      </c>
      <c r="D12" s="66"/>
      <c r="E12" s="20" t="s">
        <v>372</v>
      </c>
      <c r="F12" s="66"/>
      <c r="G12" s="20" t="s">
        <v>376</v>
      </c>
      <c r="H12" s="20" t="s">
        <v>35</v>
      </c>
      <c r="I12" s="44" t="s">
        <v>36</v>
      </c>
      <c r="J12" s="59">
        <v>46083</v>
      </c>
      <c r="K12" s="21" t="s">
        <v>38</v>
      </c>
      <c r="L12" s="66"/>
    </row>
    <row r="13" spans="1:13" ht="58" hidden="1">
      <c r="A13" s="26" t="s">
        <v>377</v>
      </c>
      <c r="B13" s="36" t="s">
        <v>330</v>
      </c>
      <c r="C13" s="3" t="s">
        <v>378</v>
      </c>
      <c r="D13" s="3"/>
      <c r="E13" s="3" t="s">
        <v>379</v>
      </c>
      <c r="F13" s="3"/>
      <c r="G13" s="3" t="s">
        <v>380</v>
      </c>
      <c r="H13" s="3" t="s">
        <v>35</v>
      </c>
      <c r="I13" s="14" t="s">
        <v>36</v>
      </c>
      <c r="J13" s="22">
        <v>46083</v>
      </c>
      <c r="K13" s="14" t="s">
        <v>38</v>
      </c>
      <c r="L13" s="16"/>
    </row>
    <row r="14" spans="1:13" ht="43.5" hidden="1">
      <c r="A14" s="26" t="s">
        <v>381</v>
      </c>
      <c r="B14" s="34" t="s">
        <v>330</v>
      </c>
      <c r="C14" s="29" t="s">
        <v>382</v>
      </c>
      <c r="D14" s="3"/>
      <c r="E14" s="3" t="s">
        <v>383</v>
      </c>
      <c r="F14" s="3"/>
      <c r="G14" s="3" t="s">
        <v>384</v>
      </c>
      <c r="H14" s="3"/>
      <c r="I14" s="35" t="s">
        <v>561</v>
      </c>
      <c r="J14" s="54">
        <v>46085</v>
      </c>
      <c r="K14" s="61" t="s">
        <v>37</v>
      </c>
      <c r="L14" s="62" t="s">
        <v>358</v>
      </c>
    </row>
    <row r="15" spans="1:13" ht="43.5" hidden="1">
      <c r="A15" s="26" t="s">
        <v>385</v>
      </c>
      <c r="B15" s="34" t="s">
        <v>330</v>
      </c>
      <c r="C15" s="29" t="s">
        <v>386</v>
      </c>
      <c r="D15" s="3"/>
      <c r="E15" s="3" t="s">
        <v>383</v>
      </c>
      <c r="F15" s="20"/>
      <c r="G15" s="20" t="s">
        <v>387</v>
      </c>
      <c r="H15" s="20"/>
      <c r="I15" s="35" t="s">
        <v>561</v>
      </c>
      <c r="J15" s="54">
        <v>46085</v>
      </c>
      <c r="K15" s="61" t="s">
        <v>37</v>
      </c>
      <c r="L15" s="66" t="s">
        <v>358</v>
      </c>
    </row>
    <row r="16" spans="1:13" ht="43.5" hidden="1">
      <c r="A16" s="26" t="s">
        <v>388</v>
      </c>
      <c r="B16" s="34" t="s">
        <v>330</v>
      </c>
      <c r="C16" s="29" t="s">
        <v>389</v>
      </c>
      <c r="D16" s="3"/>
      <c r="E16" s="42" t="s">
        <v>390</v>
      </c>
      <c r="F16" s="3"/>
      <c r="G16" s="71" t="s">
        <v>391</v>
      </c>
      <c r="H16" s="3" t="s">
        <v>392</v>
      </c>
      <c r="I16" s="35" t="s">
        <v>561</v>
      </c>
      <c r="J16" s="54">
        <v>46085</v>
      </c>
      <c r="K16" s="76" t="s">
        <v>38</v>
      </c>
      <c r="L16" s="62"/>
    </row>
    <row r="17" spans="1:12" ht="43.5" hidden="1">
      <c r="A17" s="26" t="s">
        <v>393</v>
      </c>
      <c r="B17" s="34" t="s">
        <v>330</v>
      </c>
      <c r="C17" s="3" t="s">
        <v>394</v>
      </c>
      <c r="D17" s="62"/>
      <c r="E17" s="3" t="s">
        <v>372</v>
      </c>
      <c r="F17" s="62"/>
      <c r="G17" s="3" t="s">
        <v>373</v>
      </c>
      <c r="H17" s="3" t="s">
        <v>35</v>
      </c>
      <c r="I17" s="14" t="s">
        <v>36</v>
      </c>
      <c r="J17" s="54">
        <v>46085</v>
      </c>
      <c r="K17" s="76" t="s">
        <v>38</v>
      </c>
      <c r="L17" s="62"/>
    </row>
    <row r="18" spans="1:12" ht="43.5" hidden="1">
      <c r="A18" s="26" t="s">
        <v>395</v>
      </c>
      <c r="B18" s="34" t="s">
        <v>330</v>
      </c>
      <c r="C18" s="29" t="s">
        <v>396</v>
      </c>
      <c r="D18" s="62"/>
      <c r="E18" s="3" t="s">
        <v>397</v>
      </c>
      <c r="F18" s="62"/>
      <c r="G18" s="3" t="s">
        <v>398</v>
      </c>
      <c r="H18" s="3" t="s">
        <v>35</v>
      </c>
      <c r="I18" s="14" t="s">
        <v>36</v>
      </c>
      <c r="J18" s="54">
        <v>46085</v>
      </c>
      <c r="K18" s="76" t="s">
        <v>38</v>
      </c>
      <c r="L18" s="62"/>
    </row>
  </sheetData>
  <autoFilter ref="A1:L18">
    <filterColumn colId="8">
      <filters>
        <filter val="Failed"/>
      </filters>
    </filterColumn>
  </autoFilter>
  <conditionalFormatting sqref="I2:I12">
    <cfRule type="containsText" dxfId="64" priority="50" operator="containsText" text="Passed">
      <formula>NOT(ISERROR(SEARCH("Passed",I2)))</formula>
    </cfRule>
  </conditionalFormatting>
  <conditionalFormatting sqref="I2:I12">
    <cfRule type="containsText" dxfId="63" priority="49" operator="containsText" text="Failed">
      <formula>NOT(ISERROR(SEARCH("Failed",I2)))</formula>
    </cfRule>
  </conditionalFormatting>
  <conditionalFormatting sqref="I2:I12">
    <cfRule type="containsText" dxfId="62" priority="48" operator="containsText" text="Not Applicable">
      <formula>NOT(ISERROR(SEARCH("Not Applicable",I2)))</formula>
    </cfRule>
  </conditionalFormatting>
  <conditionalFormatting sqref="I2:I12">
    <cfRule type="containsText" dxfId="61" priority="47" operator="containsText" text="Unexecuted">
      <formula>NOT(ISERROR(SEARCH("Unexecuted",I2)))</formula>
    </cfRule>
  </conditionalFormatting>
  <conditionalFormatting sqref="I2:I12">
    <cfRule type="containsText" dxfId="60" priority="46" operator="containsText" text="Blocked">
      <formula>NOT(ISERROR(SEARCH("Blocked",I2)))</formula>
    </cfRule>
  </conditionalFormatting>
  <conditionalFormatting sqref="I13">
    <cfRule type="containsText" dxfId="59" priority="35" operator="containsText" text="Passed">
      <formula>NOT(ISERROR(SEARCH("Passed",I13)))</formula>
    </cfRule>
  </conditionalFormatting>
  <conditionalFormatting sqref="I13">
    <cfRule type="containsText" dxfId="58" priority="34" operator="containsText" text="Failed">
      <formula>NOT(ISERROR(SEARCH("Failed",I13)))</formula>
    </cfRule>
  </conditionalFormatting>
  <conditionalFormatting sqref="I13">
    <cfRule type="containsText" dxfId="57" priority="33" operator="containsText" text="Not Applicable">
      <formula>NOT(ISERROR(SEARCH("Not Applicable",I13)))</formula>
    </cfRule>
  </conditionalFormatting>
  <conditionalFormatting sqref="I13">
    <cfRule type="containsText" dxfId="56" priority="32" operator="containsText" text="Unexecuted">
      <formula>NOT(ISERROR(SEARCH("Unexecuted",I13)))</formula>
    </cfRule>
  </conditionalFormatting>
  <conditionalFormatting sqref="I13">
    <cfRule type="containsText" dxfId="55" priority="31" operator="containsText" text="Blocked">
      <formula>NOT(ISERROR(SEARCH("Blocked",I13)))</formula>
    </cfRule>
  </conditionalFormatting>
  <conditionalFormatting sqref="I14:I16">
    <cfRule type="containsText" dxfId="54" priority="30" operator="containsText" text="Passed">
      <formula>NOT(ISERROR(SEARCH("Passed",I14)))</formula>
    </cfRule>
  </conditionalFormatting>
  <conditionalFormatting sqref="I14:I16">
    <cfRule type="containsText" dxfId="53" priority="29" operator="containsText" text="Failed">
      <formula>NOT(ISERROR(SEARCH("Failed",I14)))</formula>
    </cfRule>
  </conditionalFormatting>
  <conditionalFormatting sqref="I14:I16">
    <cfRule type="containsText" dxfId="52" priority="28" operator="containsText" text="Not Applicable">
      <formula>NOT(ISERROR(SEARCH("Not Applicable",I14)))</formula>
    </cfRule>
  </conditionalFormatting>
  <conditionalFormatting sqref="I14:I16">
    <cfRule type="containsText" dxfId="51" priority="27" operator="containsText" text="Unexecuted">
      <formula>NOT(ISERROR(SEARCH("Unexecuted",I14)))</formula>
    </cfRule>
  </conditionalFormatting>
  <conditionalFormatting sqref="I14:I16">
    <cfRule type="containsText" dxfId="50" priority="26" operator="containsText" text="Blocked">
      <formula>NOT(ISERROR(SEARCH("Blocked",I14)))</formula>
    </cfRule>
  </conditionalFormatting>
  <conditionalFormatting sqref="I17:I18">
    <cfRule type="containsText" dxfId="49" priority="20" operator="containsText" text="Passed">
      <formula>NOT(ISERROR(SEARCH("Passed",I17)))</formula>
    </cfRule>
  </conditionalFormatting>
  <conditionalFormatting sqref="I17:I18">
    <cfRule type="containsText" dxfId="48" priority="19" operator="containsText" text="Failed">
      <formula>NOT(ISERROR(SEARCH("Failed",I17)))</formula>
    </cfRule>
  </conditionalFormatting>
  <conditionalFormatting sqref="I17:I18">
    <cfRule type="containsText" dxfId="47" priority="18" operator="containsText" text="Not Applicable">
      <formula>NOT(ISERROR(SEARCH("Not Applicable",I17)))</formula>
    </cfRule>
  </conditionalFormatting>
  <conditionalFormatting sqref="I17:I18">
    <cfRule type="containsText" dxfId="46" priority="17" operator="containsText" text="Unexecuted">
      <formula>NOT(ISERROR(SEARCH("Unexecuted",I17)))</formula>
    </cfRule>
  </conditionalFormatting>
  <conditionalFormatting sqref="I17:I18">
    <cfRule type="containsText" dxfId="45" priority="16" operator="containsText" text="Blocked">
      <formula>NOT(ISERROR(SEARCH("Blocked",I17)))</formula>
    </cfRule>
  </conditionalFormatting>
  <conditionalFormatting sqref="I14">
    <cfRule type="containsText" dxfId="14" priority="15" operator="containsText" text="Passed">
      <formula>NOT(ISERROR(SEARCH("Passed",I14)))</formula>
    </cfRule>
  </conditionalFormatting>
  <conditionalFormatting sqref="I14">
    <cfRule type="containsText" dxfId="13" priority="14" operator="containsText" text="Failed">
      <formula>NOT(ISERROR(SEARCH("Failed",I14)))</formula>
    </cfRule>
  </conditionalFormatting>
  <conditionalFormatting sqref="I14">
    <cfRule type="containsText" dxfId="12" priority="13" operator="containsText" text="Not Applicable">
      <formula>NOT(ISERROR(SEARCH("Not Applicable",I14)))</formula>
    </cfRule>
  </conditionalFormatting>
  <conditionalFormatting sqref="I14">
    <cfRule type="containsText" dxfId="11" priority="12" operator="containsText" text="Unexecuted">
      <formula>NOT(ISERROR(SEARCH("Unexecuted",I14)))</formula>
    </cfRule>
  </conditionalFormatting>
  <conditionalFormatting sqref="I14">
    <cfRule type="containsText" dxfId="10" priority="11" operator="containsText" text="Blocked">
      <formula>NOT(ISERROR(SEARCH("Blocked",I14)))</formula>
    </cfRule>
  </conditionalFormatting>
  <conditionalFormatting sqref="I15">
    <cfRule type="containsText" dxfId="9" priority="10" operator="containsText" text="Passed">
      <formula>NOT(ISERROR(SEARCH("Passed",I15)))</formula>
    </cfRule>
  </conditionalFormatting>
  <conditionalFormatting sqref="I15">
    <cfRule type="containsText" dxfId="8" priority="9" operator="containsText" text="Failed">
      <formula>NOT(ISERROR(SEARCH("Failed",I15)))</formula>
    </cfRule>
  </conditionalFormatting>
  <conditionalFormatting sqref="I15">
    <cfRule type="containsText" dxfId="7" priority="8" operator="containsText" text="Not Applicable">
      <formula>NOT(ISERROR(SEARCH("Not Applicable",I15)))</formula>
    </cfRule>
  </conditionalFormatting>
  <conditionalFormatting sqref="I15">
    <cfRule type="containsText" dxfId="6" priority="7" operator="containsText" text="Unexecuted">
      <formula>NOT(ISERROR(SEARCH("Unexecuted",I15)))</formula>
    </cfRule>
  </conditionalFormatting>
  <conditionalFormatting sqref="I15">
    <cfRule type="containsText" dxfId="5" priority="6" operator="containsText" text="Blocked">
      <formula>NOT(ISERROR(SEARCH("Blocked",I15)))</formula>
    </cfRule>
  </conditionalFormatting>
  <conditionalFormatting sqref="I16">
    <cfRule type="containsText" dxfId="4" priority="5" operator="containsText" text="Passed">
      <formula>NOT(ISERROR(SEARCH("Passed",I16)))</formula>
    </cfRule>
  </conditionalFormatting>
  <conditionalFormatting sqref="I16">
    <cfRule type="containsText" dxfId="3" priority="4" operator="containsText" text="Failed">
      <formula>NOT(ISERROR(SEARCH("Failed",I16)))</formula>
    </cfRule>
  </conditionalFormatting>
  <conditionalFormatting sqref="I16">
    <cfRule type="containsText" dxfId="2" priority="3" operator="containsText" text="Not Applicable">
      <formula>NOT(ISERROR(SEARCH("Not Applicable",I16)))</formula>
    </cfRule>
  </conditionalFormatting>
  <conditionalFormatting sqref="I16">
    <cfRule type="containsText" dxfId="1" priority="2" operator="containsText" text="Unexecuted">
      <formula>NOT(ISERROR(SEARCH("Unexecuted",I16)))</formula>
    </cfRule>
  </conditionalFormatting>
  <conditionalFormatting sqref="I16">
    <cfRule type="containsText" dxfId="0" priority="1" operator="containsText" text="Blocked">
      <formula>NOT(ISERROR(SEARCH("Blocked",I16)))</formula>
    </cfRule>
  </conditionalFormatting>
  <dataValidations count="1">
    <dataValidation type="list" allowBlank="1" showInputMessage="1" showErrorMessage="1" sqref="I1:I1048576">
      <formula1>"Passed, Failed, Blocked, Unexecuted, Not Applicable"</formula1>
    </dataValidation>
  </dataValidations>
  <hyperlinks>
    <hyperlink ref="L3" r:id="rId1"/>
    <hyperlink ref="L4" r:id="rId2"/>
  </hyperlinks>
  <pageMargins left="0.7" right="0.7" top="0.75" bottom="0.75" header="0.3" footer="0.3"/>
</worksheet>
</file>

<file path=xl/worksheets/sheet7.xml><?xml version="1.0" encoding="utf-8"?>
<worksheet xmlns="http://schemas.openxmlformats.org/spreadsheetml/2006/main" xmlns:r="http://schemas.openxmlformats.org/officeDocument/2006/relationships">
  <sheetPr filterMode="1"/>
  <dimension ref="A1:M12"/>
  <sheetViews>
    <sheetView zoomScale="70" zoomScaleNormal="70" workbookViewId="0">
      <selection activeCell="I1" sqref="I1"/>
    </sheetView>
  </sheetViews>
  <sheetFormatPr defaultColWidth="0" defaultRowHeight="14.5"/>
  <cols>
    <col min="1" max="1" width="37.54296875" style="23" bestFit="1" customWidth="1"/>
    <col min="2" max="2" width="20" style="23" bestFit="1" customWidth="1"/>
    <col min="3" max="3" width="53.7265625" style="52" customWidth="1"/>
    <col min="4" max="4" width="36" bestFit="1" customWidth="1"/>
    <col min="5" max="5" width="48.1796875" customWidth="1"/>
    <col min="6" max="6" width="34.26953125" customWidth="1"/>
    <col min="7" max="7" width="39.453125" bestFit="1" customWidth="1"/>
    <col min="8" max="8" width="42.453125" customWidth="1"/>
    <col min="9" max="9" width="14.81640625" customWidth="1"/>
    <col min="10" max="10" width="15.81640625" style="23" customWidth="1"/>
    <col min="11" max="11" width="14.26953125" style="23" customWidth="1"/>
    <col min="12" max="12" width="30.54296875" customWidth="1"/>
  </cols>
  <sheetData>
    <row r="1" spans="1:13" s="23" customFormat="1" ht="23">
      <c r="A1" s="25" t="s">
        <v>24</v>
      </c>
      <c r="B1" s="27" t="s">
        <v>0</v>
      </c>
      <c r="C1" s="1" t="s">
        <v>25</v>
      </c>
      <c r="D1" s="1" t="s">
        <v>26</v>
      </c>
      <c r="E1" s="1" t="s">
        <v>27</v>
      </c>
      <c r="F1" s="1" t="s">
        <v>28</v>
      </c>
      <c r="G1" s="1" t="s">
        <v>29</v>
      </c>
      <c r="H1" s="1" t="s">
        <v>30</v>
      </c>
      <c r="I1" s="1" t="s">
        <v>31</v>
      </c>
      <c r="J1" s="1" t="s">
        <v>32</v>
      </c>
      <c r="K1" s="1" t="s">
        <v>33</v>
      </c>
      <c r="L1" s="1" t="s">
        <v>34</v>
      </c>
      <c r="M1" s="24"/>
    </row>
    <row r="2" spans="1:13" ht="87" hidden="1">
      <c r="A2" s="26" t="s">
        <v>399</v>
      </c>
      <c r="B2" s="28" t="s">
        <v>400</v>
      </c>
      <c r="C2" s="29" t="s">
        <v>401</v>
      </c>
      <c r="D2" s="18"/>
      <c r="E2" s="18" t="s">
        <v>402</v>
      </c>
      <c r="F2" s="18"/>
      <c r="G2" s="18" t="s">
        <v>403</v>
      </c>
      <c r="H2" s="18" t="s">
        <v>35</v>
      </c>
      <c r="I2" s="17" t="s">
        <v>36</v>
      </c>
      <c r="J2" s="46">
        <v>46083</v>
      </c>
      <c r="K2" s="14" t="s">
        <v>38</v>
      </c>
      <c r="L2" s="19"/>
    </row>
    <row r="3" spans="1:13" ht="72.5" hidden="1">
      <c r="A3" s="26" t="s">
        <v>404</v>
      </c>
      <c r="B3" s="28" t="s">
        <v>400</v>
      </c>
      <c r="C3" s="29" t="s">
        <v>405</v>
      </c>
      <c r="D3" s="3"/>
      <c r="E3" s="3" t="s">
        <v>406</v>
      </c>
      <c r="F3" s="3"/>
      <c r="G3" s="3" t="s">
        <v>407</v>
      </c>
      <c r="H3" s="18" t="s">
        <v>35</v>
      </c>
      <c r="I3" s="17" t="s">
        <v>36</v>
      </c>
      <c r="J3" s="46">
        <v>46083</v>
      </c>
      <c r="K3" s="14" t="s">
        <v>38</v>
      </c>
      <c r="L3" s="16"/>
    </row>
    <row r="4" spans="1:13" ht="43.5" hidden="1">
      <c r="A4" s="26" t="s">
        <v>408</v>
      </c>
      <c r="B4" s="28" t="s">
        <v>400</v>
      </c>
      <c r="C4" s="29" t="s">
        <v>409</v>
      </c>
      <c r="D4" s="3"/>
      <c r="E4" s="3" t="s">
        <v>410</v>
      </c>
      <c r="F4" s="3"/>
      <c r="G4" s="3" t="s">
        <v>411</v>
      </c>
      <c r="H4" s="18" t="s">
        <v>35</v>
      </c>
      <c r="I4" s="17" t="s">
        <v>36</v>
      </c>
      <c r="J4" s="46">
        <v>46083</v>
      </c>
      <c r="K4" s="14" t="s">
        <v>38</v>
      </c>
      <c r="L4" s="16"/>
    </row>
    <row r="5" spans="1:13" ht="43.5" hidden="1">
      <c r="A5" s="26" t="s">
        <v>412</v>
      </c>
      <c r="B5" s="28" t="s">
        <v>400</v>
      </c>
      <c r="C5" s="29" t="s">
        <v>413</v>
      </c>
      <c r="D5" s="3"/>
      <c r="E5" s="3" t="s">
        <v>414</v>
      </c>
      <c r="F5" s="3"/>
      <c r="G5" s="3" t="s">
        <v>411</v>
      </c>
      <c r="H5" s="18" t="s">
        <v>35</v>
      </c>
      <c r="I5" s="17" t="s">
        <v>36</v>
      </c>
      <c r="J5" s="46">
        <v>46083</v>
      </c>
      <c r="K5" s="14" t="s">
        <v>38</v>
      </c>
      <c r="L5" s="16"/>
    </row>
    <row r="6" spans="1:13" ht="72.5" hidden="1">
      <c r="A6" s="26" t="s">
        <v>415</v>
      </c>
      <c r="B6" s="28" t="s">
        <v>400</v>
      </c>
      <c r="C6" s="29" t="s">
        <v>416</v>
      </c>
      <c r="D6" s="3"/>
      <c r="E6" s="3" t="s">
        <v>417</v>
      </c>
      <c r="F6" s="3"/>
      <c r="G6" s="3" t="s">
        <v>418</v>
      </c>
      <c r="H6" s="18" t="s">
        <v>35</v>
      </c>
      <c r="I6" s="17" t="s">
        <v>36</v>
      </c>
      <c r="J6" s="46">
        <v>46083</v>
      </c>
      <c r="K6" s="14" t="s">
        <v>38</v>
      </c>
      <c r="L6" s="16"/>
    </row>
    <row r="7" spans="1:13" ht="58" hidden="1">
      <c r="A7" s="26" t="s">
        <v>419</v>
      </c>
      <c r="B7" s="28" t="s">
        <v>400</v>
      </c>
      <c r="C7" s="29" t="s">
        <v>420</v>
      </c>
      <c r="D7" s="3"/>
      <c r="E7" s="3" t="s">
        <v>421</v>
      </c>
      <c r="F7" s="3"/>
      <c r="G7" s="3" t="s">
        <v>422</v>
      </c>
      <c r="H7" s="18" t="s">
        <v>35</v>
      </c>
      <c r="I7" s="17" t="s">
        <v>36</v>
      </c>
      <c r="J7" s="46">
        <v>46083</v>
      </c>
      <c r="K7" s="14" t="s">
        <v>38</v>
      </c>
      <c r="L7" s="16"/>
    </row>
    <row r="8" spans="1:13" ht="43.5">
      <c r="A8" s="26" t="s">
        <v>423</v>
      </c>
      <c r="B8" s="28" t="s">
        <v>400</v>
      </c>
      <c r="C8" s="29" t="s">
        <v>424</v>
      </c>
      <c r="D8" s="3"/>
      <c r="E8" s="20" t="s">
        <v>425</v>
      </c>
      <c r="F8" s="20"/>
      <c r="G8" s="20" t="s">
        <v>426</v>
      </c>
      <c r="H8" s="20" t="s">
        <v>427</v>
      </c>
      <c r="I8" s="51" t="s">
        <v>40</v>
      </c>
      <c r="J8" s="74">
        <v>46083</v>
      </c>
      <c r="K8" s="21" t="s">
        <v>38</v>
      </c>
      <c r="L8" s="75" t="s">
        <v>428</v>
      </c>
    </row>
    <row r="9" spans="1:13" ht="58" hidden="1">
      <c r="A9" s="26" t="s">
        <v>429</v>
      </c>
      <c r="B9" s="28" t="s">
        <v>400</v>
      </c>
      <c r="C9" s="3" t="s">
        <v>430</v>
      </c>
      <c r="D9" s="42"/>
      <c r="E9" s="3" t="s">
        <v>431</v>
      </c>
      <c r="F9" s="3"/>
      <c r="G9" s="3" t="s">
        <v>42</v>
      </c>
      <c r="H9" s="3" t="s">
        <v>35</v>
      </c>
      <c r="I9" s="36" t="s">
        <v>36</v>
      </c>
      <c r="J9" s="54">
        <v>46083</v>
      </c>
      <c r="K9" s="36" t="s">
        <v>38</v>
      </c>
      <c r="L9" s="16"/>
    </row>
    <row r="10" spans="1:13" ht="58" hidden="1">
      <c r="A10" s="26" t="s">
        <v>432</v>
      </c>
      <c r="B10" s="28" t="s">
        <v>400</v>
      </c>
      <c r="C10" s="3" t="s">
        <v>433</v>
      </c>
      <c r="D10" s="42"/>
      <c r="E10" s="3" t="s">
        <v>434</v>
      </c>
      <c r="F10" s="3"/>
      <c r="G10" s="3" t="s">
        <v>435</v>
      </c>
      <c r="H10" s="3" t="s">
        <v>35</v>
      </c>
      <c r="I10" s="36" t="s">
        <v>36</v>
      </c>
      <c r="J10" s="54">
        <v>46083</v>
      </c>
      <c r="K10" s="36" t="s">
        <v>38</v>
      </c>
      <c r="L10" s="16"/>
    </row>
    <row r="11" spans="1:13" ht="58" hidden="1">
      <c r="A11" s="26" t="s">
        <v>436</v>
      </c>
      <c r="B11" s="28" t="s">
        <v>400</v>
      </c>
      <c r="C11" s="64" t="s">
        <v>437</v>
      </c>
      <c r="D11" s="42"/>
      <c r="E11" s="3" t="s">
        <v>438</v>
      </c>
      <c r="F11" s="3"/>
      <c r="G11" s="3" t="s">
        <v>439</v>
      </c>
      <c r="H11" s="3" t="s">
        <v>35</v>
      </c>
      <c r="I11" s="14" t="s">
        <v>36</v>
      </c>
      <c r="J11" s="22">
        <v>46083</v>
      </c>
      <c r="K11" s="14" t="s">
        <v>38</v>
      </c>
      <c r="L11" s="16"/>
    </row>
    <row r="12" spans="1:13" ht="72.5">
      <c r="A12" s="26" t="s">
        <v>440</v>
      </c>
      <c r="B12" s="28" t="s">
        <v>400</v>
      </c>
      <c r="C12" s="64" t="s">
        <v>441</v>
      </c>
      <c r="D12" s="26" t="s">
        <v>404</v>
      </c>
      <c r="E12" s="3" t="s">
        <v>442</v>
      </c>
      <c r="F12" s="3"/>
      <c r="G12" s="3" t="s">
        <v>418</v>
      </c>
      <c r="H12" s="3" t="s">
        <v>443</v>
      </c>
      <c r="I12" s="14" t="s">
        <v>40</v>
      </c>
      <c r="J12" s="22">
        <v>46085</v>
      </c>
      <c r="K12" s="14" t="s">
        <v>38</v>
      </c>
      <c r="L12" s="63" t="s">
        <v>444</v>
      </c>
    </row>
  </sheetData>
  <autoFilter ref="A1:L12">
    <filterColumn colId="8">
      <filters>
        <filter val="Failed"/>
      </filters>
    </filterColumn>
  </autoFilter>
  <conditionalFormatting sqref="I2:I8 I11:I12">
    <cfRule type="containsText" dxfId="44" priority="10" operator="containsText" text="Passed">
      <formula>NOT(ISERROR(SEARCH("Passed",I2)))</formula>
    </cfRule>
  </conditionalFormatting>
  <conditionalFormatting sqref="I2:I8 I11:I12">
    <cfRule type="containsText" dxfId="43" priority="9" operator="containsText" text="Failed">
      <formula>NOT(ISERROR(SEARCH("Failed",I2)))</formula>
    </cfRule>
  </conditionalFormatting>
  <conditionalFormatting sqref="I2:I8 I11:I12">
    <cfRule type="containsText" dxfId="42" priority="8" operator="containsText" text="Not Applicable">
      <formula>NOT(ISERROR(SEARCH("Not Applicable",I2)))</formula>
    </cfRule>
  </conditionalFormatting>
  <conditionalFormatting sqref="I2:I8 I11:I12">
    <cfRule type="containsText" dxfId="41" priority="7" operator="containsText" text="Unexecuted">
      <formula>NOT(ISERROR(SEARCH("Unexecuted",I2)))</formula>
    </cfRule>
  </conditionalFormatting>
  <conditionalFormatting sqref="I2:I8 I11:I12">
    <cfRule type="containsText" dxfId="40" priority="6" operator="containsText" text="Blocked">
      <formula>NOT(ISERROR(SEARCH("Blocked",I2)))</formula>
    </cfRule>
  </conditionalFormatting>
  <conditionalFormatting sqref="I9:I10">
    <cfRule type="containsText" dxfId="39" priority="5" operator="containsText" text="Passed">
      <formula>NOT(ISERROR(SEARCH("Passed",I9)))</formula>
    </cfRule>
  </conditionalFormatting>
  <conditionalFormatting sqref="I9:I10">
    <cfRule type="containsText" dxfId="38" priority="4" operator="containsText" text="Failed">
      <formula>NOT(ISERROR(SEARCH("Failed",I9)))</formula>
    </cfRule>
  </conditionalFormatting>
  <conditionalFormatting sqref="I9:I10">
    <cfRule type="containsText" dxfId="37" priority="3" operator="containsText" text="Not Applicable">
      <formula>NOT(ISERROR(SEARCH("Not Applicable",I9)))</formula>
    </cfRule>
  </conditionalFormatting>
  <conditionalFormatting sqref="I9:I10">
    <cfRule type="containsText" dxfId="36" priority="2" operator="containsText" text="Unexecuted">
      <formula>NOT(ISERROR(SEARCH("Unexecuted",I9)))</formula>
    </cfRule>
  </conditionalFormatting>
  <conditionalFormatting sqref="I9:I10">
    <cfRule type="containsText" dxfId="35" priority="1" operator="containsText" text="Blocked">
      <formula>NOT(ISERROR(SEARCH("Blocked",I9)))</formula>
    </cfRule>
  </conditionalFormatting>
  <dataValidations count="1">
    <dataValidation type="list" allowBlank="1" showInputMessage="1" showErrorMessage="1" sqref="I1:I1048576">
      <formula1>"Passed, Failed, Blocked, Unexecuted, Not Applicable"</formula1>
    </dataValidation>
  </dataValidations>
  <hyperlinks>
    <hyperlink ref="L8" r:id="rId1"/>
    <hyperlink ref="L12" r:id="rId2"/>
  </hyperlinks>
  <pageMargins left="0.7" right="0.7" top="0.75" bottom="0.75" header="0.3" footer="0.3"/>
</worksheet>
</file>

<file path=xl/worksheets/sheet8.xml><?xml version="1.0" encoding="utf-8"?>
<worksheet xmlns="http://schemas.openxmlformats.org/spreadsheetml/2006/main" xmlns:r="http://schemas.openxmlformats.org/officeDocument/2006/relationships">
  <sheetPr filterMode="1"/>
  <dimension ref="A1:M16"/>
  <sheetViews>
    <sheetView zoomScale="85" zoomScaleNormal="85" workbookViewId="0">
      <selection activeCell="C5" sqref="C5"/>
    </sheetView>
  </sheetViews>
  <sheetFormatPr defaultColWidth="0" defaultRowHeight="14.5"/>
  <cols>
    <col min="1" max="1" width="37.54296875" style="23" bestFit="1" customWidth="1"/>
    <col min="2" max="2" width="20" style="23" bestFit="1" customWidth="1"/>
    <col min="3" max="3" width="53.7265625" customWidth="1"/>
    <col min="4" max="4" width="16.1796875" bestFit="1" customWidth="1"/>
    <col min="5" max="5" width="48.1796875" customWidth="1"/>
    <col min="6" max="6" width="34.26953125" customWidth="1"/>
    <col min="7" max="7" width="39.453125" bestFit="1" customWidth="1"/>
    <col min="8" max="8" width="42.453125" customWidth="1"/>
    <col min="9" max="9" width="14.81640625" customWidth="1"/>
    <col min="10" max="10" width="15.81640625" style="56" customWidth="1"/>
    <col min="11" max="11" width="14.26953125" style="23" customWidth="1"/>
    <col min="12" max="12" width="30.54296875" customWidth="1"/>
  </cols>
  <sheetData>
    <row r="1" spans="1:13" s="23" customFormat="1" ht="23">
      <c r="A1" s="25" t="s">
        <v>24</v>
      </c>
      <c r="B1" s="27" t="s">
        <v>0</v>
      </c>
      <c r="C1" s="1" t="s">
        <v>25</v>
      </c>
      <c r="D1" s="1" t="s">
        <v>26</v>
      </c>
      <c r="E1" s="1" t="s">
        <v>27</v>
      </c>
      <c r="F1" s="1" t="s">
        <v>28</v>
      </c>
      <c r="G1" s="1" t="s">
        <v>29</v>
      </c>
      <c r="H1" s="1" t="s">
        <v>30</v>
      </c>
      <c r="I1" s="1" t="s">
        <v>31</v>
      </c>
      <c r="J1" s="1" t="s">
        <v>32</v>
      </c>
      <c r="K1" s="1" t="s">
        <v>33</v>
      </c>
      <c r="L1" s="1" t="s">
        <v>34</v>
      </c>
      <c r="M1" s="24"/>
    </row>
    <row r="2" spans="1:13" ht="177.75" hidden="1" customHeight="1">
      <c r="A2" s="33" t="s">
        <v>445</v>
      </c>
      <c r="B2" s="34" t="s">
        <v>17</v>
      </c>
      <c r="C2" s="29" t="s">
        <v>446</v>
      </c>
      <c r="D2" s="3"/>
      <c r="E2" s="3" t="s">
        <v>447</v>
      </c>
      <c r="F2" s="18" t="s">
        <v>448</v>
      </c>
      <c r="G2" s="47" t="s">
        <v>449</v>
      </c>
      <c r="H2" s="3" t="s">
        <v>35</v>
      </c>
      <c r="I2" s="17" t="s">
        <v>36</v>
      </c>
      <c r="J2" s="22">
        <v>46084</v>
      </c>
      <c r="K2" s="14" t="s">
        <v>37</v>
      </c>
      <c r="L2" s="48"/>
    </row>
    <row r="3" spans="1:13" ht="145" hidden="1">
      <c r="A3" s="33" t="s">
        <v>450</v>
      </c>
      <c r="B3" s="34" t="s">
        <v>17</v>
      </c>
      <c r="C3" s="29" t="s">
        <v>451</v>
      </c>
      <c r="D3" s="3"/>
      <c r="E3" s="3" t="s">
        <v>447</v>
      </c>
      <c r="F3" s="18" t="s">
        <v>448</v>
      </c>
      <c r="G3" s="47" t="s">
        <v>449</v>
      </c>
      <c r="H3" s="3" t="s">
        <v>35</v>
      </c>
      <c r="I3" s="17" t="s">
        <v>36</v>
      </c>
      <c r="J3" s="22">
        <v>46084</v>
      </c>
      <c r="K3" s="14" t="s">
        <v>37</v>
      </c>
      <c r="L3" s="48"/>
    </row>
    <row r="4" spans="1:13" ht="29" hidden="1">
      <c r="A4" s="33" t="s">
        <v>452</v>
      </c>
      <c r="B4" s="34" t="s">
        <v>17</v>
      </c>
      <c r="C4" s="29" t="s">
        <v>453</v>
      </c>
      <c r="D4" s="3"/>
      <c r="E4" s="3" t="s">
        <v>447</v>
      </c>
      <c r="F4" s="18" t="s">
        <v>448</v>
      </c>
      <c r="G4" s="47" t="s">
        <v>454</v>
      </c>
      <c r="H4" s="42" t="s">
        <v>35</v>
      </c>
      <c r="I4" s="17" t="s">
        <v>36</v>
      </c>
      <c r="J4" s="22">
        <v>46084</v>
      </c>
      <c r="K4" s="14" t="s">
        <v>37</v>
      </c>
      <c r="L4" s="48"/>
    </row>
    <row r="5" spans="1:13" ht="29">
      <c r="A5" s="33" t="s">
        <v>455</v>
      </c>
      <c r="B5" s="34" t="s">
        <v>17</v>
      </c>
      <c r="C5" s="29" t="s">
        <v>456</v>
      </c>
      <c r="D5" s="3"/>
      <c r="E5" s="3" t="s">
        <v>447</v>
      </c>
      <c r="F5" s="18" t="s">
        <v>448</v>
      </c>
      <c r="G5" s="3" t="s">
        <v>457</v>
      </c>
      <c r="H5" s="3" t="s">
        <v>458</v>
      </c>
      <c r="I5" s="35" t="s">
        <v>40</v>
      </c>
      <c r="J5" s="54">
        <v>46084</v>
      </c>
      <c r="K5" s="36" t="s">
        <v>37</v>
      </c>
      <c r="L5" s="48" t="s">
        <v>459</v>
      </c>
    </row>
    <row r="6" spans="1:13" ht="58" hidden="1">
      <c r="A6" s="33" t="s">
        <v>460</v>
      </c>
      <c r="B6" s="34" t="s">
        <v>17</v>
      </c>
      <c r="C6" s="29" t="s">
        <v>461</v>
      </c>
      <c r="D6" s="3"/>
      <c r="E6" s="3" t="s">
        <v>462</v>
      </c>
      <c r="F6" s="18" t="s">
        <v>448</v>
      </c>
      <c r="G6" s="47" t="s">
        <v>463</v>
      </c>
      <c r="H6" s="42" t="s">
        <v>35</v>
      </c>
      <c r="I6" s="35" t="s">
        <v>36</v>
      </c>
      <c r="J6" s="54">
        <v>46084</v>
      </c>
      <c r="K6" s="36" t="s">
        <v>37</v>
      </c>
      <c r="L6" s="38"/>
    </row>
    <row r="7" spans="1:13" ht="72.75" hidden="1" customHeight="1">
      <c r="A7" s="33" t="s">
        <v>464</v>
      </c>
      <c r="B7" s="34" t="s">
        <v>17</v>
      </c>
      <c r="C7" s="29" t="s">
        <v>465</v>
      </c>
      <c r="D7" s="3"/>
      <c r="E7" s="3" t="s">
        <v>466</v>
      </c>
      <c r="F7" s="18" t="s">
        <v>448</v>
      </c>
      <c r="G7" s="3" t="s">
        <v>467</v>
      </c>
      <c r="H7" s="42" t="s">
        <v>35</v>
      </c>
      <c r="I7" s="35" t="s">
        <v>36</v>
      </c>
      <c r="J7" s="54">
        <v>46084</v>
      </c>
      <c r="K7" s="36" t="s">
        <v>37</v>
      </c>
      <c r="L7" s="38"/>
    </row>
    <row r="8" spans="1:13" ht="69.75" hidden="1" customHeight="1">
      <c r="A8" s="33" t="s">
        <v>468</v>
      </c>
      <c r="B8" s="34" t="s">
        <v>17</v>
      </c>
      <c r="C8" s="29" t="s">
        <v>469</v>
      </c>
      <c r="D8" s="3"/>
      <c r="E8" s="3" t="s">
        <v>466</v>
      </c>
      <c r="F8" s="18" t="s">
        <v>448</v>
      </c>
      <c r="G8" s="3" t="s">
        <v>470</v>
      </c>
      <c r="H8" s="42" t="s">
        <v>35</v>
      </c>
      <c r="I8" s="35" t="s">
        <v>36</v>
      </c>
      <c r="J8" s="54">
        <v>46084</v>
      </c>
      <c r="K8" s="36" t="s">
        <v>37</v>
      </c>
      <c r="L8" s="38"/>
    </row>
    <row r="9" spans="1:13" ht="101.5" hidden="1">
      <c r="A9" s="33" t="s">
        <v>471</v>
      </c>
      <c r="B9" s="34" t="s">
        <v>17</v>
      </c>
      <c r="C9" s="29" t="s">
        <v>472</v>
      </c>
      <c r="D9" s="3"/>
      <c r="E9" s="3" t="s">
        <v>473</v>
      </c>
      <c r="F9" s="18" t="s">
        <v>448</v>
      </c>
      <c r="G9" s="3" t="s">
        <v>474</v>
      </c>
      <c r="H9" s="42" t="s">
        <v>35</v>
      </c>
      <c r="I9" s="35" t="s">
        <v>36</v>
      </c>
      <c r="J9" s="54">
        <v>46084</v>
      </c>
      <c r="K9" s="36" t="s">
        <v>37</v>
      </c>
      <c r="L9" s="38"/>
    </row>
    <row r="10" spans="1:13" ht="107.25" hidden="1" customHeight="1">
      <c r="A10" s="33" t="s">
        <v>475</v>
      </c>
      <c r="B10" s="34" t="s">
        <v>17</v>
      </c>
      <c r="C10" s="29" t="s">
        <v>476</v>
      </c>
      <c r="D10" s="3"/>
      <c r="E10" s="3" t="s">
        <v>477</v>
      </c>
      <c r="F10" s="18" t="s">
        <v>448</v>
      </c>
      <c r="G10" s="3" t="s">
        <v>478</v>
      </c>
      <c r="H10" s="42" t="s">
        <v>35</v>
      </c>
      <c r="I10" s="35" t="s">
        <v>36</v>
      </c>
      <c r="J10" s="54">
        <v>46084</v>
      </c>
      <c r="K10" s="36" t="s">
        <v>37</v>
      </c>
      <c r="L10" s="38"/>
    </row>
    <row r="11" spans="1:13" ht="58" hidden="1">
      <c r="A11" s="33" t="s">
        <v>479</v>
      </c>
      <c r="B11" s="34" t="s">
        <v>17</v>
      </c>
      <c r="C11" s="29" t="s">
        <v>480</v>
      </c>
      <c r="D11" s="3"/>
      <c r="E11" s="3" t="s">
        <v>447</v>
      </c>
      <c r="F11" s="18" t="s">
        <v>448</v>
      </c>
      <c r="G11" s="3" t="s">
        <v>481</v>
      </c>
      <c r="H11" s="42" t="s">
        <v>35</v>
      </c>
      <c r="I11" s="35" t="s">
        <v>36</v>
      </c>
      <c r="J11" s="54">
        <v>46084</v>
      </c>
      <c r="K11" s="36" t="s">
        <v>37</v>
      </c>
      <c r="L11" s="38"/>
    </row>
    <row r="12" spans="1:13" ht="87" hidden="1">
      <c r="A12" s="33" t="s">
        <v>482</v>
      </c>
      <c r="B12" s="34" t="s">
        <v>17</v>
      </c>
      <c r="C12" s="29" t="s">
        <v>483</v>
      </c>
      <c r="D12" s="3"/>
      <c r="E12" s="3" t="s">
        <v>484</v>
      </c>
      <c r="F12" s="18" t="s">
        <v>448</v>
      </c>
      <c r="G12" s="60" t="s">
        <v>485</v>
      </c>
      <c r="H12" s="42" t="s">
        <v>35</v>
      </c>
      <c r="I12" s="35" t="s">
        <v>36</v>
      </c>
      <c r="J12" s="54">
        <v>46084</v>
      </c>
      <c r="K12" s="36" t="s">
        <v>37</v>
      </c>
      <c r="L12" s="38"/>
    </row>
    <row r="13" spans="1:13" ht="58" hidden="1">
      <c r="A13" s="33" t="s">
        <v>486</v>
      </c>
      <c r="B13" s="34" t="s">
        <v>17</v>
      </c>
      <c r="C13" s="29" t="s">
        <v>487</v>
      </c>
      <c r="D13" s="3"/>
      <c r="E13" s="3" t="s">
        <v>488</v>
      </c>
      <c r="F13" s="18" t="s">
        <v>448</v>
      </c>
      <c r="G13" s="60" t="s">
        <v>489</v>
      </c>
      <c r="H13" s="42" t="s">
        <v>35</v>
      </c>
      <c r="I13" s="35" t="s">
        <v>36</v>
      </c>
      <c r="J13" s="54">
        <v>46084</v>
      </c>
      <c r="K13" s="36" t="s">
        <v>37</v>
      </c>
      <c r="L13" s="38"/>
    </row>
    <row r="14" spans="1:13" ht="101.5" hidden="1">
      <c r="A14" s="33" t="s">
        <v>490</v>
      </c>
      <c r="B14" s="34" t="s">
        <v>17</v>
      </c>
      <c r="C14" s="29" t="s">
        <v>491</v>
      </c>
      <c r="D14" s="3"/>
      <c r="E14" s="3" t="s">
        <v>473</v>
      </c>
      <c r="F14" s="18" t="s">
        <v>448</v>
      </c>
      <c r="G14" s="3" t="s">
        <v>474</v>
      </c>
      <c r="H14" s="42" t="s">
        <v>35</v>
      </c>
      <c r="I14" s="35" t="s">
        <v>36</v>
      </c>
      <c r="J14" s="54">
        <v>46084</v>
      </c>
      <c r="K14" s="36" t="s">
        <v>37</v>
      </c>
      <c r="L14" s="38"/>
    </row>
    <row r="15" spans="1:13" ht="87" hidden="1">
      <c r="A15" s="33" t="s">
        <v>492</v>
      </c>
      <c r="B15" s="34" t="s">
        <v>17</v>
      </c>
      <c r="C15" s="29" t="s">
        <v>493</v>
      </c>
      <c r="D15" s="3"/>
      <c r="E15" s="3" t="s">
        <v>494</v>
      </c>
      <c r="F15" s="18" t="s">
        <v>448</v>
      </c>
      <c r="G15" s="3" t="s">
        <v>474</v>
      </c>
      <c r="H15" s="42" t="s">
        <v>35</v>
      </c>
      <c r="I15" s="35" t="s">
        <v>36</v>
      </c>
      <c r="J15" s="54">
        <v>46084</v>
      </c>
      <c r="K15" s="36" t="s">
        <v>37</v>
      </c>
      <c r="L15" s="38"/>
    </row>
    <row r="16" spans="1:13" ht="58" hidden="1">
      <c r="A16" s="33" t="s">
        <v>495</v>
      </c>
      <c r="B16" s="34" t="s">
        <v>17</v>
      </c>
      <c r="C16" s="29" t="s">
        <v>496</v>
      </c>
      <c r="D16" s="3"/>
      <c r="E16" s="3" t="s">
        <v>497</v>
      </c>
      <c r="F16" s="18" t="s">
        <v>448</v>
      </c>
      <c r="G16" s="3" t="s">
        <v>498</v>
      </c>
      <c r="H16" s="42" t="s">
        <v>35</v>
      </c>
      <c r="I16" s="35" t="s">
        <v>36</v>
      </c>
      <c r="J16" s="54">
        <v>46084</v>
      </c>
      <c r="K16" s="36" t="s">
        <v>37</v>
      </c>
      <c r="L16" s="38"/>
    </row>
  </sheetData>
  <autoFilter ref="A1:L16">
    <filterColumn colId="8">
      <filters>
        <filter val="Failed"/>
      </filters>
    </filterColumn>
  </autoFilter>
  <conditionalFormatting sqref="I5:I16">
    <cfRule type="containsText" dxfId="34" priority="10" operator="containsText" text="Passed">
      <formula>NOT(ISERROR(SEARCH("Passed",I5)))</formula>
    </cfRule>
  </conditionalFormatting>
  <conditionalFormatting sqref="I5:I16">
    <cfRule type="containsText" dxfId="33" priority="9" operator="containsText" text="Failed">
      <formula>NOT(ISERROR(SEARCH("Failed",I5)))</formula>
    </cfRule>
  </conditionalFormatting>
  <conditionalFormatting sqref="I5:I16">
    <cfRule type="containsText" dxfId="32" priority="8" operator="containsText" text="Not Applicable">
      <formula>NOT(ISERROR(SEARCH("Not Applicable",I5)))</formula>
    </cfRule>
  </conditionalFormatting>
  <conditionalFormatting sqref="I5:I16">
    <cfRule type="containsText" dxfId="31" priority="7" operator="containsText" text="Unexecuted">
      <formula>NOT(ISERROR(SEARCH("Unexecuted",I5)))</formula>
    </cfRule>
  </conditionalFormatting>
  <conditionalFormatting sqref="I5:I16">
    <cfRule type="containsText" dxfId="30" priority="6" operator="containsText" text="Blocked">
      <formula>NOT(ISERROR(SEARCH("Blocked",I5)))</formula>
    </cfRule>
  </conditionalFormatting>
  <conditionalFormatting sqref="I2:I4">
    <cfRule type="containsText" dxfId="29" priority="5" operator="containsText" text="Passed">
      <formula>NOT(ISERROR(SEARCH("Passed",I2)))</formula>
    </cfRule>
  </conditionalFormatting>
  <conditionalFormatting sqref="I2:I4">
    <cfRule type="containsText" dxfId="28" priority="4" operator="containsText" text="Failed">
      <formula>NOT(ISERROR(SEARCH("Failed",I2)))</formula>
    </cfRule>
  </conditionalFormatting>
  <conditionalFormatting sqref="I2:I4">
    <cfRule type="containsText" dxfId="27" priority="3" operator="containsText" text="Not Applicable">
      <formula>NOT(ISERROR(SEARCH("Not Applicable",I2)))</formula>
    </cfRule>
  </conditionalFormatting>
  <conditionalFormatting sqref="I2:I4">
    <cfRule type="containsText" dxfId="26" priority="2" operator="containsText" text="Unexecuted">
      <formula>NOT(ISERROR(SEARCH("Unexecuted",I2)))</formula>
    </cfRule>
  </conditionalFormatting>
  <conditionalFormatting sqref="I2:I4">
    <cfRule type="containsText" dxfId="25" priority="1" operator="containsText" text="Blocked">
      <formula>NOT(ISERROR(SEARCH("Blocked",I2)))</formula>
    </cfRule>
  </conditionalFormatting>
  <dataValidations count="1">
    <dataValidation type="list" allowBlank="1" showInputMessage="1" showErrorMessage="1" sqref="I1:I1048576">
      <formula1>"Passed, Failed, Blocked, Unexecuted, Not Applicable"</formula1>
    </dataValidation>
  </dataValidations>
  <hyperlinks>
    <hyperlink ref="L5" r:id="rId1"/>
  </hyperlinks>
  <pageMargins left="0.7" right="0.7" top="0.75" bottom="0.75" header="0.3" footer="0.3"/>
</worksheet>
</file>

<file path=xl/worksheets/sheet9.xml><?xml version="1.0" encoding="utf-8"?>
<worksheet xmlns="http://schemas.openxmlformats.org/spreadsheetml/2006/main" xmlns:r="http://schemas.openxmlformats.org/officeDocument/2006/relationships">
  <sheetPr filterMode="1"/>
  <dimension ref="A1:M18"/>
  <sheetViews>
    <sheetView workbookViewId="0">
      <selection activeCell="I1" sqref="I1"/>
    </sheetView>
  </sheetViews>
  <sheetFormatPr defaultColWidth="0" defaultRowHeight="14.5"/>
  <cols>
    <col min="1" max="1" width="37.54296875" style="23" bestFit="1" customWidth="1"/>
    <col min="2" max="2" width="20" style="23" bestFit="1" customWidth="1"/>
    <col min="3" max="3" width="53.7265625" style="52" customWidth="1"/>
    <col min="4" max="4" width="27.7265625" bestFit="1" customWidth="1"/>
    <col min="5" max="5" width="48.1796875" customWidth="1"/>
    <col min="6" max="6" width="34.26953125" customWidth="1"/>
    <col min="7" max="7" width="39.453125" style="52" bestFit="1" customWidth="1"/>
    <col min="8" max="8" width="42.453125" customWidth="1"/>
    <col min="9" max="9" width="14.81640625" customWidth="1"/>
    <col min="10" max="10" width="15.81640625" style="23" customWidth="1"/>
    <col min="11" max="11" width="14.26953125" style="23" customWidth="1"/>
    <col min="12" max="12" width="30.54296875" customWidth="1"/>
  </cols>
  <sheetData>
    <row r="1" spans="1:13" s="23" customFormat="1" ht="23">
      <c r="A1" s="25" t="s">
        <v>24</v>
      </c>
      <c r="B1" s="27" t="s">
        <v>0</v>
      </c>
      <c r="C1" s="1" t="s">
        <v>25</v>
      </c>
      <c r="D1" s="1" t="s">
        <v>26</v>
      </c>
      <c r="E1" s="1" t="s">
        <v>27</v>
      </c>
      <c r="F1" s="1" t="s">
        <v>28</v>
      </c>
      <c r="G1" s="1" t="s">
        <v>29</v>
      </c>
      <c r="H1" s="1" t="s">
        <v>30</v>
      </c>
      <c r="I1" s="1" t="s">
        <v>31</v>
      </c>
      <c r="J1" s="1" t="s">
        <v>32</v>
      </c>
      <c r="K1" s="1" t="s">
        <v>33</v>
      </c>
      <c r="L1" s="1" t="s">
        <v>34</v>
      </c>
      <c r="M1" s="24"/>
    </row>
    <row r="2" spans="1:13" ht="29" hidden="1">
      <c r="A2" s="26" t="s">
        <v>499</v>
      </c>
      <c r="B2" s="28" t="s">
        <v>500</v>
      </c>
      <c r="C2" s="29" t="s">
        <v>501</v>
      </c>
      <c r="D2" s="18"/>
      <c r="E2" s="18" t="s">
        <v>502</v>
      </c>
      <c r="F2" s="18"/>
      <c r="G2" s="18" t="s">
        <v>503</v>
      </c>
      <c r="H2" s="18" t="s">
        <v>35</v>
      </c>
      <c r="I2" s="17" t="s">
        <v>36</v>
      </c>
      <c r="J2" s="46">
        <v>46085</v>
      </c>
      <c r="K2" s="14" t="s">
        <v>37</v>
      </c>
      <c r="L2" s="19"/>
    </row>
    <row r="3" spans="1:13" ht="29" hidden="1">
      <c r="A3" s="26" t="s">
        <v>504</v>
      </c>
      <c r="B3" s="28" t="s">
        <v>500</v>
      </c>
      <c r="C3" s="29" t="s">
        <v>505</v>
      </c>
      <c r="D3" s="26"/>
      <c r="E3" s="18" t="s">
        <v>502</v>
      </c>
      <c r="F3" s="3"/>
      <c r="G3" s="3" t="s">
        <v>506</v>
      </c>
      <c r="H3" s="18" t="s">
        <v>35</v>
      </c>
      <c r="I3" s="17" t="s">
        <v>36</v>
      </c>
      <c r="J3" s="46">
        <v>46085</v>
      </c>
      <c r="K3" s="14" t="s">
        <v>37</v>
      </c>
      <c r="L3" s="19"/>
    </row>
    <row r="4" spans="1:13" ht="58" hidden="1">
      <c r="A4" s="26" t="s">
        <v>507</v>
      </c>
      <c r="B4" s="28" t="s">
        <v>500</v>
      </c>
      <c r="C4" s="29" t="s">
        <v>508</v>
      </c>
      <c r="D4" s="26"/>
      <c r="E4" s="18" t="s">
        <v>509</v>
      </c>
      <c r="F4" s="3"/>
      <c r="G4" s="94" t="s">
        <v>510</v>
      </c>
      <c r="H4" s="18" t="s">
        <v>35</v>
      </c>
      <c r="I4" s="17" t="s">
        <v>36</v>
      </c>
      <c r="J4" s="46">
        <v>46085</v>
      </c>
      <c r="K4" s="14" t="s">
        <v>37</v>
      </c>
      <c r="L4" s="16"/>
    </row>
    <row r="5" spans="1:13" ht="58" hidden="1">
      <c r="A5" s="26" t="s">
        <v>511</v>
      </c>
      <c r="B5" s="28" t="s">
        <v>500</v>
      </c>
      <c r="C5" s="29" t="s">
        <v>512</v>
      </c>
      <c r="D5" s="3"/>
      <c r="E5" s="18" t="s">
        <v>513</v>
      </c>
      <c r="F5" s="3"/>
      <c r="G5" s="93" t="s">
        <v>514</v>
      </c>
      <c r="H5" s="18" t="s">
        <v>35</v>
      </c>
      <c r="I5" s="17" t="s">
        <v>36</v>
      </c>
      <c r="J5" s="46">
        <v>46085</v>
      </c>
      <c r="K5" s="14" t="s">
        <v>37</v>
      </c>
      <c r="L5" s="16"/>
    </row>
    <row r="6" spans="1:13" ht="72.5" hidden="1">
      <c r="A6" s="26" t="s">
        <v>515</v>
      </c>
      <c r="B6" s="28" t="s">
        <v>500</v>
      </c>
      <c r="C6" s="40" t="s">
        <v>516</v>
      </c>
      <c r="D6" s="20"/>
      <c r="E6" s="18" t="s">
        <v>517</v>
      </c>
      <c r="F6" s="20"/>
      <c r="G6" s="20" t="s">
        <v>518</v>
      </c>
      <c r="H6" s="65" t="s">
        <v>35</v>
      </c>
      <c r="I6" s="17" t="s">
        <v>36</v>
      </c>
      <c r="J6" s="74">
        <v>46085</v>
      </c>
      <c r="K6" s="21" t="s">
        <v>37</v>
      </c>
      <c r="L6" s="68"/>
    </row>
    <row r="7" spans="1:13" s="4" customFormat="1" ht="130.5">
      <c r="A7" s="26" t="s">
        <v>519</v>
      </c>
      <c r="B7" s="28" t="s">
        <v>500</v>
      </c>
      <c r="C7" s="29" t="s">
        <v>520</v>
      </c>
      <c r="D7" s="3"/>
      <c r="E7" s="18" t="s">
        <v>521</v>
      </c>
      <c r="F7" s="3"/>
      <c r="G7" s="3" t="s">
        <v>522</v>
      </c>
      <c r="H7" s="3" t="s">
        <v>523</v>
      </c>
      <c r="I7" s="17" t="s">
        <v>40</v>
      </c>
      <c r="J7" s="22">
        <v>46085</v>
      </c>
      <c r="K7" s="14" t="s">
        <v>37</v>
      </c>
      <c r="L7" s="45" t="s">
        <v>524</v>
      </c>
    </row>
    <row r="8" spans="1:13" ht="116" hidden="1">
      <c r="A8" s="26" t="s">
        <v>525</v>
      </c>
      <c r="B8" s="28" t="s">
        <v>500</v>
      </c>
      <c r="C8" s="29" t="s">
        <v>526</v>
      </c>
      <c r="D8" s="3"/>
      <c r="E8" s="18" t="s">
        <v>527</v>
      </c>
      <c r="F8" s="3"/>
      <c r="G8" s="3" t="s">
        <v>528</v>
      </c>
      <c r="H8" s="3" t="s">
        <v>35</v>
      </c>
      <c r="I8" s="17" t="s">
        <v>36</v>
      </c>
      <c r="J8" s="22">
        <v>46085</v>
      </c>
      <c r="K8" s="14" t="s">
        <v>37</v>
      </c>
      <c r="L8" s="63"/>
      <c r="M8" s="4"/>
    </row>
    <row r="9" spans="1:13" ht="116" hidden="1">
      <c r="A9" s="26" t="s">
        <v>529</v>
      </c>
      <c r="B9" s="28" t="s">
        <v>500</v>
      </c>
      <c r="C9" s="29" t="s">
        <v>530</v>
      </c>
      <c r="D9" s="3"/>
      <c r="E9" s="18" t="s">
        <v>527</v>
      </c>
      <c r="F9" s="3"/>
      <c r="G9" s="60" t="s">
        <v>531</v>
      </c>
      <c r="H9" s="3" t="s">
        <v>35</v>
      </c>
      <c r="I9" s="17" t="s">
        <v>36</v>
      </c>
      <c r="J9" s="22">
        <v>46085</v>
      </c>
      <c r="K9" s="14" t="s">
        <v>37</v>
      </c>
      <c r="L9" s="63"/>
      <c r="M9" s="4"/>
    </row>
    <row r="10" spans="1:13" ht="116">
      <c r="A10" s="26" t="s">
        <v>532</v>
      </c>
      <c r="B10" s="28" t="s">
        <v>500</v>
      </c>
      <c r="C10" s="29" t="s">
        <v>533</v>
      </c>
      <c r="D10" s="3"/>
      <c r="E10" s="18" t="s">
        <v>527</v>
      </c>
      <c r="F10" s="3"/>
      <c r="G10" s="52" t="s">
        <v>534</v>
      </c>
      <c r="H10" s="3" t="s">
        <v>535</v>
      </c>
      <c r="I10" s="17" t="s">
        <v>40</v>
      </c>
      <c r="J10" s="22">
        <v>46085</v>
      </c>
      <c r="K10" s="14" t="s">
        <v>37</v>
      </c>
      <c r="L10" s="63" t="s">
        <v>536</v>
      </c>
      <c r="M10" s="4"/>
    </row>
    <row r="11" spans="1:13" ht="116" hidden="1">
      <c r="A11" s="26" t="s">
        <v>537</v>
      </c>
      <c r="B11" s="28" t="s">
        <v>500</v>
      </c>
      <c r="C11" s="29" t="s">
        <v>538</v>
      </c>
      <c r="D11" s="3"/>
      <c r="E11" s="18" t="s">
        <v>509</v>
      </c>
      <c r="F11" s="3"/>
      <c r="G11" s="3" t="s">
        <v>449</v>
      </c>
      <c r="H11" s="3" t="s">
        <v>35</v>
      </c>
      <c r="I11" s="17" t="s">
        <v>36</v>
      </c>
      <c r="J11" s="22">
        <v>46085</v>
      </c>
      <c r="K11" s="14" t="s">
        <v>37</v>
      </c>
      <c r="L11" s="63"/>
      <c r="M11" s="4"/>
    </row>
    <row r="12" spans="1:13" ht="130.5" hidden="1">
      <c r="A12" s="26" t="s">
        <v>539</v>
      </c>
      <c r="B12" s="28" t="s">
        <v>500</v>
      </c>
      <c r="C12" s="29" t="s">
        <v>540</v>
      </c>
      <c r="D12" s="3"/>
      <c r="E12" s="18" t="s">
        <v>541</v>
      </c>
      <c r="F12" s="3"/>
      <c r="G12" s="3" t="s">
        <v>449</v>
      </c>
      <c r="H12" s="3" t="s">
        <v>35</v>
      </c>
      <c r="I12" s="17" t="s">
        <v>36</v>
      </c>
      <c r="J12" s="22">
        <v>46085</v>
      </c>
      <c r="K12" s="14" t="s">
        <v>37</v>
      </c>
      <c r="L12" s="63"/>
      <c r="M12" s="4"/>
    </row>
    <row r="13" spans="1:13" ht="87" hidden="1">
      <c r="A13" s="26" t="s">
        <v>542</v>
      </c>
      <c r="B13" s="28" t="s">
        <v>500</v>
      </c>
      <c r="C13" s="29" t="s">
        <v>543</v>
      </c>
      <c r="D13" s="3"/>
      <c r="E13" s="18" t="s">
        <v>541</v>
      </c>
      <c r="F13" s="3"/>
      <c r="G13" s="93" t="s">
        <v>544</v>
      </c>
      <c r="H13" s="3" t="s">
        <v>35</v>
      </c>
      <c r="I13" s="17" t="s">
        <v>36</v>
      </c>
      <c r="J13" s="22">
        <v>46085</v>
      </c>
      <c r="K13" s="14" t="s">
        <v>37</v>
      </c>
      <c r="L13" s="63"/>
      <c r="M13" s="4"/>
    </row>
    <row r="14" spans="1:13" ht="101.5" hidden="1">
      <c r="A14" s="26" t="s">
        <v>545</v>
      </c>
      <c r="B14" s="28" t="s">
        <v>500</v>
      </c>
      <c r="C14" s="29" t="s">
        <v>546</v>
      </c>
      <c r="D14" s="3"/>
      <c r="E14" s="18" t="s">
        <v>547</v>
      </c>
      <c r="F14" s="3"/>
      <c r="G14" s="93" t="s">
        <v>548</v>
      </c>
      <c r="H14" s="3" t="s">
        <v>35</v>
      </c>
      <c r="I14" s="17" t="s">
        <v>36</v>
      </c>
      <c r="J14" s="22">
        <v>46085</v>
      </c>
      <c r="K14" s="14" t="s">
        <v>37</v>
      </c>
      <c r="L14" s="63"/>
      <c r="M14" s="4"/>
    </row>
    <row r="15" spans="1:13" ht="101.5" hidden="1">
      <c r="A15" s="26" t="s">
        <v>549</v>
      </c>
      <c r="B15" s="28" t="s">
        <v>500</v>
      </c>
      <c r="C15" s="29" t="s">
        <v>550</v>
      </c>
      <c r="D15" s="3"/>
      <c r="E15" s="18" t="s">
        <v>547</v>
      </c>
      <c r="F15" s="3"/>
      <c r="G15" s="3" t="s">
        <v>551</v>
      </c>
      <c r="H15" s="3" t="s">
        <v>35</v>
      </c>
      <c r="I15" s="17" t="s">
        <v>36</v>
      </c>
      <c r="J15" s="22">
        <v>46085</v>
      </c>
      <c r="K15" s="14" t="s">
        <v>37</v>
      </c>
      <c r="L15" s="63"/>
      <c r="M15" s="4"/>
    </row>
    <row r="16" spans="1:13" ht="72.5" hidden="1">
      <c r="A16" s="26" t="s">
        <v>552</v>
      </c>
      <c r="B16" s="28" t="s">
        <v>500</v>
      </c>
      <c r="C16" s="29" t="s">
        <v>553</v>
      </c>
      <c r="D16" s="26" t="s">
        <v>507</v>
      </c>
      <c r="E16" s="3" t="s">
        <v>554</v>
      </c>
      <c r="F16" s="3"/>
      <c r="G16" s="3" t="s">
        <v>555</v>
      </c>
      <c r="H16" s="3" t="s">
        <v>35</v>
      </c>
      <c r="I16" s="17" t="s">
        <v>36</v>
      </c>
      <c r="J16" s="22">
        <v>46085</v>
      </c>
      <c r="K16" s="14" t="s">
        <v>38</v>
      </c>
      <c r="L16" s="63"/>
      <c r="M16" s="4"/>
    </row>
    <row r="17" spans="1:13" ht="72.5" hidden="1">
      <c r="A17" s="26" t="s">
        <v>556</v>
      </c>
      <c r="B17" s="28" t="s">
        <v>500</v>
      </c>
      <c r="C17" s="29" t="s">
        <v>557</v>
      </c>
      <c r="D17" s="26" t="s">
        <v>507</v>
      </c>
      <c r="E17" s="3" t="s">
        <v>554</v>
      </c>
      <c r="F17" s="3"/>
      <c r="G17" s="3" t="s">
        <v>558</v>
      </c>
      <c r="H17" s="3" t="s">
        <v>35</v>
      </c>
      <c r="I17" s="17" t="s">
        <v>36</v>
      </c>
      <c r="J17" s="22">
        <v>46085</v>
      </c>
      <c r="K17" s="14" t="s">
        <v>38</v>
      </c>
      <c r="L17" s="63"/>
      <c r="M17" s="4"/>
    </row>
    <row r="18" spans="1:13" ht="72.5" hidden="1">
      <c r="A18" s="26" t="s">
        <v>556</v>
      </c>
      <c r="B18" s="28" t="s">
        <v>500</v>
      </c>
      <c r="C18" s="29" t="s">
        <v>559</v>
      </c>
      <c r="D18" s="26" t="s">
        <v>507</v>
      </c>
      <c r="E18" s="3" t="s">
        <v>554</v>
      </c>
      <c r="F18" s="3"/>
      <c r="G18" s="3" t="s">
        <v>560</v>
      </c>
      <c r="H18" s="3" t="s">
        <v>35</v>
      </c>
      <c r="I18" s="17" t="s">
        <v>36</v>
      </c>
      <c r="J18" s="22">
        <v>46085</v>
      </c>
      <c r="K18" s="14" t="s">
        <v>38</v>
      </c>
      <c r="L18" s="63"/>
      <c r="M18" s="4"/>
    </row>
  </sheetData>
  <autoFilter ref="A1:L18">
    <filterColumn colId="8">
      <filters>
        <filter val="Failed"/>
      </filters>
    </filterColumn>
  </autoFilter>
  <conditionalFormatting sqref="I2:I18">
    <cfRule type="containsText" dxfId="24" priority="5" operator="containsText" text="Passed">
      <formula>NOT(ISERROR(SEARCH("Passed",I2)))</formula>
    </cfRule>
  </conditionalFormatting>
  <conditionalFormatting sqref="I2:I18">
    <cfRule type="containsText" dxfId="23" priority="4" operator="containsText" text="Failed">
      <formula>NOT(ISERROR(SEARCH("Failed",I2)))</formula>
    </cfRule>
  </conditionalFormatting>
  <conditionalFormatting sqref="I2:I18">
    <cfRule type="containsText" dxfId="22" priority="3" operator="containsText" text="Not Applicable">
      <formula>NOT(ISERROR(SEARCH("Not Applicable",I2)))</formula>
    </cfRule>
  </conditionalFormatting>
  <conditionalFormatting sqref="I2:I18">
    <cfRule type="containsText" dxfId="21" priority="2" operator="containsText" text="Unexecuted">
      <formula>NOT(ISERROR(SEARCH("Unexecuted",I2)))</formula>
    </cfRule>
  </conditionalFormatting>
  <conditionalFormatting sqref="I2:I18">
    <cfRule type="containsText" dxfId="20" priority="1" operator="containsText" text="Blocked">
      <formula>NOT(ISERROR(SEARCH("Blocked",I2)))</formula>
    </cfRule>
  </conditionalFormatting>
  <dataValidations count="1">
    <dataValidation type="list" allowBlank="1" showInputMessage="1" showErrorMessage="1" sqref="I1:I1048576">
      <formula1>"Passed, Failed, Blocked, Unexecuted, Not Applicable"</formula1>
    </dataValidation>
  </dataValidations>
  <hyperlinks>
    <hyperlink ref="L7" r:id="rId1"/>
    <hyperlink ref="L10" r:id="rId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A255AF61489C4EBA40FB631880F4A9" ma:contentTypeVersion="12" ma:contentTypeDescription="Create a new document." ma:contentTypeScope="" ma:versionID="7a3339eb0902cb7e220107ae8960f553">
  <xsd:schema xmlns:xsd="http://www.w3.org/2001/XMLSchema" xmlns:xs="http://www.w3.org/2001/XMLSchema" xmlns:p="http://schemas.microsoft.com/office/2006/metadata/properties" xmlns:ns2="fb1d4e36-1573-4698-a233-7ae081524afe" xmlns:ns3="3c794e90-6a7b-4e54-b628-d8811401baf3" targetNamespace="http://schemas.microsoft.com/office/2006/metadata/properties" ma:root="true" ma:fieldsID="6ddb2ab8a31cb397ace557389513c2d6" ns2:_="" ns3:_="">
    <xsd:import namespace="fb1d4e36-1573-4698-a233-7ae081524afe"/>
    <xsd:import namespace="3c794e90-6a7b-4e54-b628-d8811401ba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1d4e36-1573-4698-a233-7ae081524a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d993beb-5fb4-4a05-8220-57bd7927721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c794e90-6a7b-4e54-b628-d8811401ba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2879c8e-5776-4f09-8dcd-595f4481f737}" ma:internalName="TaxCatchAll" ma:showField="CatchAllData" ma:web="3c794e90-6a7b-4e54-b628-d8811401ba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b1d4e36-1573-4698-a233-7ae081524afe">
      <Terms xmlns="http://schemas.microsoft.com/office/infopath/2007/PartnerControls"/>
    </lcf76f155ced4ddcb4097134ff3c332f>
    <TaxCatchAll xmlns="3c794e90-6a7b-4e54-b628-d8811401baf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BFF1E5-436B-4FDF-9C9D-0F3D48BDBD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1d4e36-1573-4698-a233-7ae081524afe"/>
    <ds:schemaRef ds:uri="3c794e90-6a7b-4e54-b628-d8811401ba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E23B55-51D7-4707-822C-6FC7369627F1}">
  <ds:schemaRefs>
    <ds:schemaRef ds:uri="http://schemas.microsoft.com/office/2006/metadata/properties"/>
    <ds:schemaRef ds:uri="http://schemas.microsoft.com/office/infopath/2007/PartnerControls"/>
    <ds:schemaRef ds:uri="fb1d4e36-1573-4698-a233-7ae081524afe"/>
    <ds:schemaRef ds:uri="3c794e90-6a7b-4e54-b628-d8811401baf3"/>
  </ds:schemaRefs>
</ds:datastoreItem>
</file>

<file path=customXml/itemProps3.xml><?xml version="1.0" encoding="utf-8"?>
<ds:datastoreItem xmlns:ds="http://schemas.openxmlformats.org/officeDocument/2006/customXml" ds:itemID="{FC1306F5-EFC3-4EE2-9D08-F5EDED191E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Vehicle Management</vt:lpstr>
      <vt:lpstr>Parking Reservation</vt:lpstr>
      <vt:lpstr>Building Management</vt:lpstr>
      <vt:lpstr>Parking Config</vt:lpstr>
      <vt:lpstr>Parking Attendant</vt:lpstr>
      <vt:lpstr>Attendant Management</vt:lpstr>
      <vt:lpstr>Zone Management</vt:lpstr>
      <vt:lpstr>Building Policies</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Rose Billclin Laurente-Cabansag</dc:creator>
  <cp:keywords/>
  <dc:description/>
  <cp:lastModifiedBy>smirandilla</cp:lastModifiedBy>
  <cp:revision/>
  <dcterms:created xsi:type="dcterms:W3CDTF">2026-02-23T05:46:58Z</dcterms:created>
  <dcterms:modified xsi:type="dcterms:W3CDTF">2026-03-04T09:18:18Z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0x01010073A255AF61489C4EBA40FB631880F4A9</vt:lpwstr>
  </property>
  <property fmtid="{D5CDD505-2E9C-101B-9397-08002B2CF9AE}" pid="3" name="MediaServiceImageTags">
    <vt:lpwstr/>
  </property>
</Properties>
</file>